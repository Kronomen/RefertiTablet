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ITL TP\Desktop\Referto Pallamano completo\Tablet\"/>
    </mc:Choice>
  </mc:AlternateContent>
  <xr:revisionPtr revIDLastSave="0" documentId="13_ncr:1_{A56DA90A-903B-4BEC-BDF1-CE85BD4ABF1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ara" sheetId="12" r:id="rId1"/>
    <sheet name="Squadre" sheetId="2" r:id="rId2"/>
    <sheet name="Giocatori Dirigenti" sheetId="32" r:id="rId3"/>
  </sheets>
  <definedNames>
    <definedName name="Campionati">Squadre!$B$6:$B$11</definedName>
    <definedName name="SquadreA1">Squadre!$E$6:$E$19</definedName>
    <definedName name="SquadreB">Squadre!$H$6:$H$17</definedName>
    <definedName name="SquadreGivanile">Squadre!$K$6:$K$17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7" i="12" l="1" a="1"/>
  <c r="N37" i="12" s="1"/>
  <c r="N38" i="12" a="1"/>
  <c r="N38" i="12" s="1"/>
  <c r="N39" i="12" a="1"/>
  <c r="N39" i="12" s="1"/>
  <c r="N40" i="12" a="1"/>
  <c r="N40" i="12" s="1"/>
  <c r="N41" i="12" a="1"/>
  <c r="N41" i="12" s="1"/>
  <c r="N42" i="12" a="1"/>
  <c r="N42" i="12" s="1"/>
  <c r="N43" i="12" a="1"/>
  <c r="N43" i="12" s="1"/>
  <c r="N44" i="12" a="1"/>
  <c r="N44" i="12" s="1"/>
  <c r="N45" i="12" a="1"/>
  <c r="N45" i="12" s="1"/>
  <c r="N46" i="12" a="1"/>
  <c r="N46" i="12" s="1"/>
  <c r="N47" i="12" a="1"/>
  <c r="N47" i="12" s="1"/>
  <c r="N48" i="12" a="1"/>
  <c r="N48" i="12" s="1"/>
  <c r="Q35" i="12" a="1"/>
  <c r="Q35" i="12" s="1"/>
  <c r="Q36" i="12" a="1"/>
  <c r="Q36" i="12" s="1"/>
  <c r="Q37" i="12" a="1"/>
  <c r="Q37" i="12" s="1"/>
  <c r="Q38" i="12" a="1"/>
  <c r="Q38" i="12" s="1"/>
  <c r="Q39" i="12" a="1"/>
  <c r="Q39" i="12" s="1"/>
  <c r="Q40" i="12" a="1"/>
  <c r="Q40" i="12" s="1"/>
  <c r="Q41" i="12" a="1"/>
  <c r="Q41" i="12" s="1"/>
  <c r="Q42" i="12" a="1"/>
  <c r="Q42" i="12" s="1"/>
  <c r="Q43" i="12" a="1"/>
  <c r="Q43" i="12" s="1"/>
  <c r="Q44" i="12" a="1"/>
  <c r="Q44" i="12" s="1"/>
  <c r="Q45" i="12" a="1"/>
  <c r="Q45" i="12" s="1"/>
  <c r="Q46" i="12" a="1"/>
  <c r="Q46" i="12" s="1"/>
  <c r="Q47" i="12" a="1"/>
  <c r="Q47" i="12" s="1"/>
  <c r="Q48" i="12" a="1"/>
  <c r="Q48" i="12" s="1"/>
  <c r="Q5" i="12" a="1"/>
  <c r="Q5" i="12" s="1"/>
  <c r="Q6" i="12" a="1"/>
  <c r="Q6" i="12" s="1"/>
  <c r="Q7" i="12" a="1"/>
  <c r="Q7" i="12" s="1"/>
  <c r="Q8" i="12" a="1"/>
  <c r="Q8" i="12" s="1"/>
  <c r="Q9" i="12" a="1"/>
  <c r="Q9" i="12" s="1"/>
  <c r="Q10" i="12" a="1"/>
  <c r="Q10" i="12" s="1"/>
  <c r="Q11" i="12" a="1"/>
  <c r="Q11" i="12" s="1"/>
  <c r="Q12" i="12" a="1"/>
  <c r="Q12" i="12" s="1"/>
  <c r="Q13" i="12" a="1"/>
  <c r="Q13" i="12" s="1"/>
  <c r="Q14" i="12" a="1"/>
  <c r="Q14" i="12" s="1"/>
  <c r="Q15" i="12" a="1"/>
  <c r="Q15" i="12" s="1"/>
  <c r="Q16" i="12" a="1"/>
  <c r="Q16" i="12" s="1"/>
  <c r="Q17" i="12" a="1"/>
  <c r="Q17" i="12" s="1"/>
  <c r="Q18" i="12" a="1"/>
  <c r="Q18" i="12" s="1"/>
  <c r="Q19" i="12" a="1"/>
  <c r="Q19" i="12" s="1"/>
  <c r="Q20" i="12" a="1"/>
  <c r="Q20" i="12" s="1"/>
  <c r="Q21" i="12" a="1"/>
  <c r="Q21" i="12" s="1"/>
  <c r="Q22" i="12" a="1"/>
  <c r="Q22" i="12" s="1"/>
  <c r="Q23" i="12" a="1"/>
  <c r="Q23" i="12" s="1"/>
  <c r="Q24" i="12" a="1"/>
  <c r="Q24" i="12" s="1"/>
  <c r="Q25" i="12" a="1"/>
  <c r="Q25" i="12" s="1"/>
  <c r="Q26" i="12" a="1"/>
  <c r="Q26" i="12" s="1"/>
  <c r="Q27" i="12" a="1"/>
  <c r="Q27" i="12" s="1"/>
  <c r="Q28" i="12" a="1"/>
  <c r="Q28" i="12" s="1"/>
  <c r="Q29" i="12" a="1"/>
  <c r="Q29" i="12" s="1"/>
  <c r="Q30" i="12" a="1"/>
  <c r="Q30" i="12" s="1"/>
  <c r="Q31" i="12" a="1"/>
  <c r="Q31" i="12" s="1"/>
  <c r="Q32" i="12" a="1"/>
  <c r="Q32" i="12" s="1"/>
  <c r="Q33" i="12" a="1"/>
  <c r="Q33" i="12" s="1"/>
  <c r="Q34" i="12" a="1"/>
  <c r="Q34" i="12" s="1"/>
  <c r="N5" i="12" a="1"/>
  <c r="N5" i="12" s="1"/>
  <c r="N6" i="12" a="1"/>
  <c r="N6" i="12" s="1"/>
  <c r="N7" i="12" a="1"/>
  <c r="N7" i="12" s="1"/>
  <c r="N8" i="12" a="1"/>
  <c r="N8" i="12" s="1"/>
  <c r="N9" i="12" a="1"/>
  <c r="N9" i="12" s="1"/>
  <c r="N10" i="12" a="1"/>
  <c r="N10" i="12" s="1"/>
  <c r="N11" i="12" a="1"/>
  <c r="N11" i="12" s="1"/>
  <c r="N12" i="12" a="1"/>
  <c r="N12" i="12" s="1"/>
  <c r="N13" i="12" a="1"/>
  <c r="N13" i="12" s="1"/>
  <c r="N14" i="12" a="1"/>
  <c r="N14" i="12" s="1"/>
  <c r="N15" i="12" a="1"/>
  <c r="N15" i="12" s="1"/>
  <c r="N16" i="12" a="1"/>
  <c r="N16" i="12" s="1"/>
  <c r="N17" i="12" a="1"/>
  <c r="N17" i="12" s="1"/>
  <c r="N18" i="12" a="1"/>
  <c r="N18" i="12" s="1"/>
  <c r="N19" i="12" a="1"/>
  <c r="N19" i="12" s="1"/>
  <c r="N20" i="12" a="1"/>
  <c r="N20" i="12" s="1"/>
  <c r="N21" i="12" a="1"/>
  <c r="N21" i="12" s="1"/>
  <c r="N22" i="12" a="1"/>
  <c r="N22" i="12" s="1"/>
  <c r="N23" i="12" a="1"/>
  <c r="N23" i="12" s="1"/>
  <c r="N24" i="12" a="1"/>
  <c r="N24" i="12" s="1"/>
  <c r="N25" i="12" a="1"/>
  <c r="N25" i="12" s="1"/>
  <c r="N26" i="12" a="1"/>
  <c r="N26" i="12" s="1"/>
  <c r="N27" i="12" a="1"/>
  <c r="N27" i="12" s="1"/>
  <c r="N28" i="12" a="1"/>
  <c r="N28" i="12" s="1"/>
  <c r="N29" i="12" a="1"/>
  <c r="N29" i="12" s="1"/>
  <c r="N30" i="12" a="1"/>
  <c r="N30" i="12" s="1"/>
  <c r="N31" i="12" a="1"/>
  <c r="N31" i="12" s="1"/>
  <c r="N32" i="12" a="1"/>
  <c r="N32" i="12" s="1"/>
  <c r="N33" i="12" a="1"/>
  <c r="N33" i="12" s="1"/>
  <c r="N34" i="12" a="1"/>
  <c r="N34" i="12" s="1"/>
  <c r="N35" i="12" a="1"/>
  <c r="N35" i="12" s="1"/>
  <c r="N36" i="12" a="1"/>
  <c r="N36" i="12" s="1"/>
  <c r="D24" i="12" a="1"/>
  <c r="D24" i="12" s="1"/>
  <c r="C5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<sst xmlns="http://schemas.openxmlformats.org/spreadsheetml/2006/main" count="846" uniqueCount="399">
  <si>
    <t>B</t>
  </si>
  <si>
    <t>N°</t>
  </si>
  <si>
    <t>Narkis Arrondo</t>
  </si>
  <si>
    <t>Chana Masson</t>
  </si>
  <si>
    <t>Patricio Ansaldi</t>
  </si>
  <si>
    <t>A</t>
  </si>
  <si>
    <t>Francesco Fierro</t>
  </si>
  <si>
    <t>Michele Veronese</t>
  </si>
  <si>
    <t>Andrea Miseri</t>
  </si>
  <si>
    <t>Colonna1</t>
  </si>
  <si>
    <t>PLAYER_A</t>
  </si>
  <si>
    <t>OFFICIAL_A</t>
  </si>
  <si>
    <t>PLAYER_B</t>
  </si>
  <si>
    <t>OFFICIAL_B</t>
  </si>
  <si>
    <t>DELEGATO2</t>
  </si>
  <si>
    <t>OFFICIALS</t>
  </si>
  <si>
    <t>DELEGATO1</t>
  </si>
  <si>
    <t>ARBITRO2</t>
  </si>
  <si>
    <t>ARBITRO1</t>
  </si>
  <si>
    <t>2026/2027</t>
  </si>
  <si>
    <t>STAGIONE</t>
  </si>
  <si>
    <t>MATCH</t>
  </si>
  <si>
    <t>IMPIANTO</t>
  </si>
  <si>
    <t>ERICE</t>
  </si>
  <si>
    <t>LOCALITA</t>
  </si>
  <si>
    <t>CAMPIONATO</t>
  </si>
  <si>
    <t>ORA</t>
  </si>
  <si>
    <t>TEAM_B</t>
  </si>
  <si>
    <t>TEAM_A</t>
  </si>
  <si>
    <t>DATA</t>
  </si>
  <si>
    <t>Dati da Caricare</t>
  </si>
  <si>
    <t>NUMERO</t>
  </si>
  <si>
    <t>Squadre</t>
  </si>
  <si>
    <t>Dati Gara</t>
  </si>
  <si>
    <t>Foglio di Configurazione Gara di Pallamano</t>
  </si>
  <si>
    <t>TOPOLINO</t>
  </si>
  <si>
    <t>PAPERINO</t>
  </si>
  <si>
    <t xml:space="preserve">DIABOLIK </t>
  </si>
  <si>
    <t>AC Life Style Erice</t>
  </si>
  <si>
    <t>Alì-Best Espresso Mestrino</t>
  </si>
  <si>
    <t>Brixen Südtirol</t>
  </si>
  <si>
    <t>Casalgrande Padana</t>
  </si>
  <si>
    <t>Cassano Magnago</t>
  </si>
  <si>
    <t>Cellini Padova</t>
  </si>
  <si>
    <t>Conversano</t>
  </si>
  <si>
    <t>HAC Germancar Nuoro</t>
  </si>
  <si>
    <t>Jomi Salerno</t>
  </si>
  <si>
    <t>Leno</t>
  </si>
  <si>
    <t>Mezzocorona</t>
  </si>
  <si>
    <t>Securfox Ariosto Ferrara</t>
  </si>
  <si>
    <t>Sirio Toyota Teramo</t>
  </si>
  <si>
    <t>Trapani</t>
  </si>
  <si>
    <t>Bernabei Nicole Elisa</t>
  </si>
  <si>
    <t>Cabral Barbosa Alexandrina</t>
  </si>
  <si>
    <t>Cozzi Melina Ximena</t>
  </si>
  <si>
    <t>Dalle Crode Lucia</t>
  </si>
  <si>
    <t>De Marinis Maira</t>
  </si>
  <si>
    <t>Di Prisco Francesca</t>
  </si>
  <si>
    <t>Do Nascimento Martinez Alexandra Priscila</t>
  </si>
  <si>
    <t>Fanton Irene</t>
  </si>
  <si>
    <t>Gandulfo Macarena</t>
  </si>
  <si>
    <t>Iacovello Martina</t>
  </si>
  <si>
    <t>Losio Giulia Teresa</t>
  </si>
  <si>
    <t>Manojlovic Ramona Vesna</t>
  </si>
  <si>
    <t>Martinez Bizzotto Valentina</t>
  </si>
  <si>
    <t>Nilsen Silje</t>
  </si>
  <si>
    <t>Pessoa Constantino Gabriela</t>
  </si>
  <si>
    <t>Priolo Chiara</t>
  </si>
  <si>
    <t>Sablic Sara</t>
  </si>
  <si>
    <t>Severin Alexandra Ramona</t>
  </si>
  <si>
    <t>Tarbuch Marianela Pilar</t>
  </si>
  <si>
    <t>Trayan Maryia</t>
  </si>
  <si>
    <t>Zizzo Alessia</t>
  </si>
  <si>
    <t>Kapitanovic Ivana</t>
  </si>
  <si>
    <t>Ahanda Orlane</t>
  </si>
  <si>
    <t>Niakate Kalidiatou</t>
  </si>
  <si>
    <t>Bougeant Frédéric</t>
  </si>
  <si>
    <t>Anziliero Giulia</t>
  </si>
  <si>
    <t>Balzer Julia Chiara</t>
  </si>
  <si>
    <t>Bernardi Erika</t>
  </si>
  <si>
    <t>Bisello Giulia</t>
  </si>
  <si>
    <t>Brunetti Arianna</t>
  </si>
  <si>
    <t>Bucur Ana Maria</t>
  </si>
  <si>
    <t>Cabrini Marianna</t>
  </si>
  <si>
    <t>Campagnaro Elisa</t>
  </si>
  <si>
    <t>Chiarotto Giorgia</t>
  </si>
  <si>
    <t>Chiarotto Gloria</t>
  </si>
  <si>
    <t>Di Fede Rachele</t>
  </si>
  <si>
    <t>Fiorasi Arianna</t>
  </si>
  <si>
    <t>Galvan Anna</t>
  </si>
  <si>
    <t>Mamet Agustina</t>
  </si>
  <si>
    <t>Mazzariol Angela</t>
  </si>
  <si>
    <t>Özsöz Şevval</t>
  </si>
  <si>
    <t>Pinto Pereira Daniela Sofia</t>
  </si>
  <si>
    <t>Pugliese Carlotta</t>
  </si>
  <si>
    <t>Rubin Anita</t>
  </si>
  <si>
    <t>Sabbion Giorgia</t>
  </si>
  <si>
    <t>Stettler Lucila</t>
  </si>
  <si>
    <t>Lucarini Giuseppe</t>
  </si>
  <si>
    <t>Aichner Marie</t>
  </si>
  <si>
    <t>Babbo Giada</t>
  </si>
  <si>
    <t>Dibona Giulia</t>
  </si>
  <si>
    <t>Fadel Amelie</t>
  </si>
  <si>
    <t>Gamper Carolin</t>
  </si>
  <si>
    <t>Habicher Mara</t>
  </si>
  <si>
    <t>Habicher Nelly</t>
  </si>
  <si>
    <t>Hilber Sarah</t>
  </si>
  <si>
    <t>Kiesenhofer Sophia</t>
  </si>
  <si>
    <t>Lucarini Giovanna</t>
  </si>
  <si>
    <t>Luchin Francesca</t>
  </si>
  <si>
    <t>Matavš Nika</t>
  </si>
  <si>
    <t>Mitterrutzner Nina</t>
  </si>
  <si>
    <t>Nothdurfter Barbara</t>
  </si>
  <si>
    <t>Oberrauch Marie</t>
  </si>
  <si>
    <t>Ruhl Hannah</t>
  </si>
  <si>
    <t>Sozio Elisa</t>
  </si>
  <si>
    <t>Springeth Sonja</t>
  </si>
  <si>
    <t>Unterweger Marie</t>
  </si>
  <si>
    <t>Vegni Violetta</t>
  </si>
  <si>
    <t>Nössing Hubi</t>
  </si>
  <si>
    <t>Eder Andrea</t>
  </si>
  <si>
    <t>Prünster Monika</t>
  </si>
  <si>
    <t>Artoni Alessia</t>
  </si>
  <si>
    <t>Artoni Simona</t>
  </si>
  <si>
    <t>Baroni Emma</t>
  </si>
  <si>
    <t>Baroni Sofia</t>
  </si>
  <si>
    <t>Bonacini Valentina</t>
  </si>
  <si>
    <t>Cosentino Giulia</t>
  </si>
  <si>
    <t>Ferrari Elisa</t>
  </si>
  <si>
    <t>Ferrari Laura</t>
  </si>
  <si>
    <t>Franco Francesca</t>
  </si>
  <si>
    <t>Galletti Camilla</t>
  </si>
  <si>
    <t>Giovannini Matilde</t>
  </si>
  <si>
    <t>Giubbini Viola</t>
  </si>
  <si>
    <t>Iyamu Charity</t>
  </si>
  <si>
    <t>Lassouli Malak</t>
  </si>
  <si>
    <t>Lusetti Gaia</t>
  </si>
  <si>
    <t>Niccolai Apostol Sara</t>
  </si>
  <si>
    <t>Orlandi Marianna</t>
  </si>
  <si>
    <t>Rondoni Chiara</t>
  </si>
  <si>
    <t>Rossi Margherita</t>
  </si>
  <si>
    <t>Stefanelli Irene</t>
  </si>
  <si>
    <t>Trevisi Greta</t>
  </si>
  <si>
    <t>Barani Elena</t>
  </si>
  <si>
    <t>Bertolino Nila</t>
  </si>
  <si>
    <t>Morosi Alice</t>
  </si>
  <si>
    <t>Barbosu Bianca Ioana</t>
  </si>
  <si>
    <t>Cobianchi Michela</t>
  </si>
  <si>
    <t>Colloredo Eleonora</t>
  </si>
  <si>
    <t>Ghilardi Sofia</t>
  </si>
  <si>
    <t>Piovani Adele</t>
  </si>
  <si>
    <t>Barbuscia Martina</t>
  </si>
  <si>
    <t>Taddeo Sofia</t>
  </si>
  <si>
    <t>Gozzi Giulia</t>
  </si>
  <si>
    <t>Trevisan Alice</t>
  </si>
  <si>
    <t>Zanellini Sara</t>
  </si>
  <si>
    <t>Lain Ilaria</t>
  </si>
  <si>
    <t>Tanic Marijana</t>
  </si>
  <si>
    <t>Ponti Lisa</t>
  </si>
  <si>
    <t>Laita Giulia</t>
  </si>
  <si>
    <t>Maggioni Miriam</t>
  </si>
  <si>
    <t>Macchi Asia</t>
  </si>
  <si>
    <t>Bassanese Alessandra</t>
  </si>
  <si>
    <t>Kolec Davide</t>
  </si>
  <si>
    <t>Prela Angela</t>
  </si>
  <si>
    <t>Meneghini Giorgia</t>
  </si>
  <si>
    <t>Broch Martina</t>
  </si>
  <si>
    <t>Enghianruwa Anabel</t>
  </si>
  <si>
    <t>Ghonim Judy</t>
  </si>
  <si>
    <t>Okorie Ifeoma</t>
  </si>
  <si>
    <t>Montero Mainten</t>
  </si>
  <si>
    <t>Onesti Rachele</t>
  </si>
  <si>
    <t>Nardomarino Mimie</t>
  </si>
  <si>
    <t>Balata Aurora</t>
  </si>
  <si>
    <t>Griggio Giorgia</t>
  </si>
  <si>
    <t>Rettore Nicole</t>
  </si>
  <si>
    <t>Bebli Letizia</t>
  </si>
  <si>
    <t>Bergamasco Ingrid</t>
  </si>
  <si>
    <t>Okorie Ada</t>
  </si>
  <si>
    <t>Vasile Desiree</t>
  </si>
  <si>
    <t>Raicu Aurora</t>
  </si>
  <si>
    <t>Giardini Agata</t>
  </si>
  <si>
    <t>Marchionni Mauro</t>
  </si>
  <si>
    <t>Filiciotto Mario</t>
  </si>
  <si>
    <t>Germancar Nuoro</t>
  </si>
  <si>
    <t>Deiana Roberto</t>
  </si>
  <si>
    <t>Basolu Silvia</t>
  </si>
  <si>
    <t>Calia Martina </t>
  </si>
  <si>
    <t>Floris Alessia </t>
  </si>
  <si>
    <t>Floris Martina</t>
  </si>
  <si>
    <t>Fois Giorgia</t>
  </si>
  <si>
    <t>Fois Giulia</t>
  </si>
  <si>
    <t>Ganga Enrica</t>
  </si>
  <si>
    <t>Herranz Reyes  Danielys</t>
  </si>
  <si>
    <t>Lostia Antonella</t>
  </si>
  <si>
    <t>Mazzitelli Valeria</t>
  </si>
  <si>
    <t>Mereu Marianna</t>
  </si>
  <si>
    <t>Mirotta Cabanas Agustina</t>
  </si>
  <si>
    <t>Nkou Josephine Line Maxime</t>
  </si>
  <si>
    <t>Podda Luisella</t>
  </si>
  <si>
    <t>Sias Nicole</t>
  </si>
  <si>
    <t>Suberic Katarina</t>
  </si>
  <si>
    <t>Radovic Sandra </t>
  </si>
  <si>
    <t>Zedda Aurora</t>
  </si>
  <si>
    <t>Piantini Avendano Antonella Valentina</t>
  </si>
  <si>
    <t>Mangone Asia </t>
  </si>
  <si>
    <t>Gislimberti Aurora </t>
  </si>
  <si>
    <t>Sucacuexe Paulo Sebastiao Catarina</t>
  </si>
  <si>
    <t>Woller Cecilie</t>
  </si>
  <si>
    <t>Lauretti Matos Cyrielle Paola</t>
  </si>
  <si>
    <t>Nukovic Edita </t>
  </si>
  <si>
    <t>Salvaro Emma </t>
  </si>
  <si>
    <t>Fabbo Giulia Antonia</t>
  </si>
  <si>
    <t>Rossomando Giulia</t>
  </si>
  <si>
    <t>Dalla Costa Ilaria</t>
  </si>
  <si>
    <t>Danti Margherita</t>
  </si>
  <si>
    <t>Lepori Margherita</t>
  </si>
  <si>
    <t>De Santis Martina </t>
  </si>
  <si>
    <t>Lanfredi Olga </t>
  </si>
  <si>
    <t>Nappa Giulia</t>
  </si>
  <si>
    <t>Adinolfi Giorgia</t>
  </si>
  <si>
    <t>Rispoli Martina</t>
  </si>
  <si>
    <t>Malović Đurđina</t>
  </si>
  <si>
    <t>Chirut Adrian</t>
  </si>
  <si>
    <t>Andreani Sara</t>
  </si>
  <si>
    <t>Anelli Lara Andrea</t>
  </si>
  <si>
    <t>Ateba Engadi Laeticia Petronie</t>
  </si>
  <si>
    <t>Bigolin Erika</t>
  </si>
  <si>
    <t>Bonometti Sara</t>
  </si>
  <si>
    <t>Bonometti Sofia</t>
  </si>
  <si>
    <t>D’Ambrosio Giuseppina</t>
  </si>
  <si>
    <t>Emanuelli Camilla</t>
  </si>
  <si>
    <t>Faig Iuliana</t>
  </si>
  <si>
    <t>Favalli Isabella</t>
  </si>
  <si>
    <t>Kaur Jasleen</t>
  </si>
  <si>
    <t>Kellner Rachel</t>
  </si>
  <si>
    <t>Kovtun Olena</t>
  </si>
  <si>
    <t>Lavagnini Giulia Maria</t>
  </si>
  <si>
    <t>Lavagnini Mara</t>
  </si>
  <si>
    <t>Lumaraku Viola</t>
  </si>
  <si>
    <t>Masi Schonherr Sille</t>
  </si>
  <si>
    <t>Moulahi Sara</t>
  </si>
  <si>
    <t>Oliveri Laure</t>
  </si>
  <si>
    <t>Plazzotta Adele</t>
  </si>
  <si>
    <t>Ramazzotti Romina</t>
  </si>
  <si>
    <t>Telò Ludovica</t>
  </si>
  <si>
    <t>Tescione Laura</t>
  </si>
  <si>
    <t>Sbalchiero Silvia</t>
  </si>
  <si>
    <t>Ortuno Serra Arnau</t>
  </si>
  <si>
    <t>Amplatz Emely</t>
  </si>
  <si>
    <t>Bernardelle Chiara</t>
  </si>
  <si>
    <t>Campestrini Annachiara</t>
  </si>
  <si>
    <t>Coati Noemi</t>
  </si>
  <si>
    <t>Coser Anja</t>
  </si>
  <si>
    <t>Dalla Valle Luisa</t>
  </si>
  <si>
    <t>Falser Natalie</t>
  </si>
  <si>
    <t>Groff Alice</t>
  </si>
  <si>
    <t>Italiano Eleonora</t>
  </si>
  <si>
    <t>Maurer Julia</t>
  </si>
  <si>
    <t>Maurer Lea</t>
  </si>
  <si>
    <t>Mazzucchi Arianna</t>
  </si>
  <si>
    <t>Mundumbo Candida Queta</t>
  </si>
  <si>
    <t>Pasolli Sofia</t>
  </si>
  <si>
    <t>Pernter Magdalena</t>
  </si>
  <si>
    <t>Pilati Marika</t>
  </si>
  <si>
    <t>Rabanser Alina</t>
  </si>
  <si>
    <t>Raifer Hannah</t>
  </si>
  <si>
    <t>Rivera Ventura Esperanza Felicia</t>
  </si>
  <si>
    <t>Tasinato Beatrice</t>
  </si>
  <si>
    <t>Tito Imaculada Matos</t>
  </si>
  <si>
    <t>Tubi Margherita</t>
  </si>
  <si>
    <t>Valentinotti Ania</t>
  </si>
  <si>
    <t>Giovannini Sonia</t>
  </si>
  <si>
    <t>Boev Nikolay Georgiev</t>
  </si>
  <si>
    <t>Rizzoli Giorgia</t>
  </si>
  <si>
    <t>Ariosto Ferrara</t>
  </si>
  <si>
    <t>Marrochi Ongay Maria Fernanda</t>
  </si>
  <si>
    <t>Ferrara Chiara</t>
  </si>
  <si>
    <t>Janni Aurora</t>
  </si>
  <si>
    <t>Soglietti Katia</t>
  </si>
  <si>
    <t>Vitale Gabriela</t>
  </si>
  <si>
    <t>Badiali Chiara</t>
  </si>
  <si>
    <t>Degli Uberti Lucia</t>
  </si>
  <si>
    <t>Gambato Anita</t>
  </si>
  <si>
    <t>Guarelli Irene</t>
  </si>
  <si>
    <t>Magri Anna</t>
  </si>
  <si>
    <t>Malaguti Emma</t>
  </si>
  <si>
    <t>Sallami Amani</t>
  </si>
  <si>
    <t>Yugueros Tarazona Aitana</t>
  </si>
  <si>
    <t>Ocampos Morel Fatima Veronica</t>
  </si>
  <si>
    <t>Visentin Kerper Maria Paula</t>
  </si>
  <si>
    <t>Manfedini Angelica</t>
  </si>
  <si>
    <t>Melis Mattia</t>
  </si>
  <si>
    <t>Teramo</t>
  </si>
  <si>
    <t>Galletti Elisabeth</t>
  </si>
  <si>
    <t>Ratsika Niki</t>
  </si>
  <si>
    <t>Panayotova Marilena</t>
  </si>
  <si>
    <t>Di Pietro Micaela</t>
  </si>
  <si>
    <t>Engel Eduarda Mariele</t>
  </si>
  <si>
    <t>Sila Fatou</t>
  </si>
  <si>
    <t>Giamberardino Lucia Fiorella</t>
  </si>
  <si>
    <t>Canzio Chiara</t>
  </si>
  <si>
    <t>De Flaviis Giulia</t>
  </si>
  <si>
    <t>Farisé Rebecca</t>
  </si>
  <si>
    <t>Pugliara Beatrice</t>
  </si>
  <si>
    <t>De Angelis Arianna</t>
  </si>
  <si>
    <t>Conte Giulia</t>
  </si>
  <si>
    <t>Notarianni Michela</t>
  </si>
  <si>
    <t>Capone Rebecca</t>
  </si>
  <si>
    <t>Palarie Maria Daniela</t>
  </si>
  <si>
    <t>Serie A1 Femminile</t>
  </si>
  <si>
    <t>Teamnetwork Albatro Next Gen</t>
  </si>
  <si>
    <t>Teamnetwork Albatro Youth Generation</t>
  </si>
  <si>
    <t>Pallamano Regalbuto</t>
  </si>
  <si>
    <t>Autosicura Pallamano Marsala</t>
  </si>
  <si>
    <t>TH Mascalucia</t>
  </si>
  <si>
    <t xml:space="preserve">New Handball Mascalucia </t>
  </si>
  <si>
    <t>Caffè Klara Pallamano Avola</t>
  </si>
  <si>
    <t>Puleo Il Giovinetto Petrosino</t>
  </si>
  <si>
    <t>PGS Villaurea Palermo</t>
  </si>
  <si>
    <t>Agriblu Modica</t>
  </si>
  <si>
    <t>Pallamano Alcamo</t>
  </si>
  <si>
    <t>Campionati</t>
  </si>
  <si>
    <t>Serie B Maschile</t>
  </si>
  <si>
    <t>Squadra</t>
  </si>
  <si>
    <t>Giocatori/Dirigenti</t>
  </si>
  <si>
    <t>Giovanile</t>
  </si>
  <si>
    <t>SQUADRA Casa</t>
  </si>
  <si>
    <t>SQUADRA OSPITE</t>
  </si>
  <si>
    <t>Atleti/Dirigenti</t>
  </si>
  <si>
    <t>C</t>
  </si>
  <si>
    <t>D</t>
  </si>
  <si>
    <t>Palaeolico</t>
  </si>
  <si>
    <t>Assana Dagui</t>
  </si>
  <si>
    <t>Bizzotto Valentina Martina</t>
  </si>
  <si>
    <t>GOMEZ HERNANDEZ SULEIKY</t>
  </si>
  <si>
    <t>Andriichuk Julia</t>
  </si>
  <si>
    <t>De marinis Maira</t>
  </si>
  <si>
    <t>Stellato Carmen</t>
  </si>
  <si>
    <t>Cenicola Lucia Maria</t>
  </si>
  <si>
    <t>Ferraresi Francesca</t>
  </si>
  <si>
    <t>Lusarreta Micaela</t>
  </si>
  <si>
    <t>Lista Martina</t>
  </si>
  <si>
    <t>Lista Milena</t>
  </si>
  <si>
    <t>Filingeri Kelly F.</t>
  </si>
  <si>
    <t>L'Abbate Alice</t>
  </si>
  <si>
    <t>Ricciardo Mariarita</t>
  </si>
  <si>
    <t>Zizzo Claudia</t>
  </si>
  <si>
    <t>Mucci Serena</t>
  </si>
  <si>
    <t>Morello Cristina</t>
  </si>
  <si>
    <t>Ferraresi Margherita</t>
  </si>
  <si>
    <t>Ascorti Alexis</t>
  </si>
  <si>
    <t>Felet Elena</t>
  </si>
  <si>
    <t>Mydlova Katarina</t>
  </si>
  <si>
    <t>Contino Lorena</t>
  </si>
  <si>
    <t>Italia (bandiera)</t>
  </si>
  <si>
    <t>Ilaria Di Mise</t>
  </si>
  <si>
    <t>T</t>
  </si>
  <si>
    <t>Carmen Caccioppoli</t>
  </si>
  <si>
    <t>Maghy Di Leo</t>
  </si>
  <si>
    <t>Michela Martino</t>
  </si>
  <si>
    <t>Sophie Sarcià</t>
  </si>
  <si>
    <t>Silvia Sofia Berardi</t>
  </si>
  <si>
    <t>PV</t>
  </si>
  <si>
    <t>Ilaria Mastroscianni </t>
  </si>
  <si>
    <t>Francesca Martinelli</t>
  </si>
  <si>
    <t>P</t>
  </si>
  <si>
    <t>Donatella Giannini</t>
  </si>
  <si>
    <t>Albania (bandiera)</t>
  </si>
  <si>
    <t>Sonia Duda</t>
  </si>
  <si>
    <t>Romania (bandiera)</t>
  </si>
  <si>
    <t>Paula Aftodor</t>
  </si>
  <si>
    <t>Claudia Simone</t>
  </si>
  <si>
    <t>Raffaella Fanelli</t>
  </si>
  <si>
    <t>Sofia Di Maggio</t>
  </si>
  <si>
    <t>Karol Paciello</t>
  </si>
  <si>
    <t>Fonte De Marinis</t>
  </si>
  <si>
    <t>Ilaria De Nigris</t>
  </si>
  <si>
    <t>Ritanna Di Maggio</t>
  </si>
  <si>
    <t>Giulia Gattulli</t>
  </si>
  <si>
    <t>Di Mise Ilaria</t>
  </si>
  <si>
    <t>Gattulli Giulia</t>
  </si>
  <si>
    <t>Di Maggio Ritanna</t>
  </si>
  <si>
    <t>De Nigris Ilaria</t>
  </si>
  <si>
    <t>De Marinis Fonte</t>
  </si>
  <si>
    <t>Caccioppoli Carmen</t>
  </si>
  <si>
    <t>Di Leo Maghy</t>
  </si>
  <si>
    <t>Martino Michela</t>
  </si>
  <si>
    <t>Sarcià Sophie</t>
  </si>
  <si>
    <t>Berardi Silvia Sofia</t>
  </si>
  <si>
    <t>Mastroscianni Ilaria</t>
  </si>
  <si>
    <t>Martinelli Francesca</t>
  </si>
  <si>
    <t>Giannini Donatella</t>
  </si>
  <si>
    <t>Duda Sonia</t>
  </si>
  <si>
    <t>Aftodor Paola</t>
  </si>
  <si>
    <t>Simone Claudia</t>
  </si>
  <si>
    <t>Fanelli Raffaella</t>
  </si>
  <si>
    <t>Di Maggio Sofia</t>
  </si>
  <si>
    <t>Paciello Karol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</si>
</sst>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36"/>
      <color rgb="FF0000FF"/>
      <name val="Calibri"/>
      <family val="2"/>
      <scheme val="minor"/>
    </font>
    <font>
      <b/>
      <sz val="11"/>
      <color theme="1"/>
      <name val="Arial"/>
      <family val="2"/>
    </font>
    <font>
      <b/>
      <sz val="16"/>
      <color rgb="FF0000FF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6"/>
      <color rgb="FFCC00CC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 style="thick">
        <color rgb="FF0000FF"/>
      </right>
      <top style="thick">
        <color rgb="FF0000FF"/>
      </top>
      <bottom/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/>
      <right style="thick">
        <color rgb="FF0000FF"/>
      </right>
      <top style="dotted">
        <color rgb="FF0000FF"/>
      </top>
      <bottom style="dotted">
        <color rgb="FF0000FF"/>
      </bottom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 style="medium">
        <color rgb="FF0000FF"/>
      </right>
      <top style="medium">
        <color rgb="FF0000FF"/>
      </top>
      <bottom/>
      <diagonal/>
    </border>
    <border>
      <left style="medium">
        <color rgb="FF0000FF"/>
      </left>
      <right/>
      <top/>
      <bottom/>
      <diagonal/>
    </border>
    <border>
      <left style="medium">
        <color rgb="FF0000FF"/>
      </left>
      <right/>
      <top/>
      <bottom style="medium">
        <color rgb="FF0000FF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medium">
        <color rgb="FF0000FF"/>
      </right>
      <top/>
      <bottom/>
      <diagonal/>
    </border>
    <border>
      <left/>
      <right style="medium">
        <color rgb="FF0000FF"/>
      </right>
      <top/>
      <bottom style="medium">
        <color rgb="FF0000FF"/>
      </bottom>
      <diagonal/>
    </border>
    <border>
      <left style="thick">
        <color rgb="FF0000FF"/>
      </left>
      <right/>
      <top/>
      <bottom/>
      <diagonal/>
    </border>
    <border>
      <left style="thick">
        <color rgb="FF0000FF"/>
      </left>
      <right style="thick">
        <color rgb="FF0000FF"/>
      </right>
      <top/>
      <bottom/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/>
      <right style="thin">
        <color theme="9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rgb="FF0000FF"/>
      </left>
      <right style="dotted">
        <color rgb="FF0000FF"/>
      </right>
      <top style="dotted">
        <color rgb="FF0000FF"/>
      </top>
      <bottom style="dotted">
        <color rgb="FF0000FF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14" fontId="0" fillId="0" borderId="2" xfId="0" applyNumberFormat="1" applyBorder="1" applyAlignment="1">
      <alignment vertical="center"/>
    </xf>
    <xf numFmtId="164" fontId="0" fillId="0" borderId="2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4" fillId="0" borderId="2" xfId="0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/>
    <xf numFmtId="0" fontId="8" fillId="0" borderId="4" xfId="0" applyFont="1" applyBorder="1" applyAlignment="1">
      <alignment horizontal="center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0" fillId="0" borderId="8" xfId="0" applyBorder="1"/>
    <xf numFmtId="0" fontId="8" fillId="0" borderId="9" xfId="0" applyFont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8" fillId="0" borderId="12" xfId="0" applyFont="1" applyBorder="1" applyAlignment="1">
      <alignment horizontal="center" vertical="center"/>
    </xf>
    <xf numFmtId="0" fontId="0" fillId="0" borderId="13" xfId="0" applyBorder="1"/>
    <xf numFmtId="0" fontId="9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4" fillId="0" borderId="0" xfId="0" applyFont="1" applyAlignment="1">
      <alignment vertical="center"/>
    </xf>
    <xf numFmtId="0" fontId="7" fillId="0" borderId="14" xfId="0" applyFont="1" applyBorder="1" applyAlignment="1">
      <alignment vertical="center"/>
    </xf>
    <xf numFmtId="0" fontId="0" fillId="0" borderId="15" xfId="0" applyBorder="1"/>
    <xf numFmtId="0" fontId="0" fillId="0" borderId="16" xfId="0" applyBorder="1"/>
    <xf numFmtId="0" fontId="0" fillId="0" borderId="5" xfId="0" applyBorder="1"/>
    <xf numFmtId="0" fontId="1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7" fillId="0" borderId="0" xfId="0" applyFont="1" applyAlignment="1">
      <alignment vertical="center"/>
    </xf>
    <xf numFmtId="0" fontId="0" fillId="0" borderId="19" xfId="0" applyBorder="1"/>
    <xf numFmtId="0" fontId="1" fillId="3" borderId="0" xfId="0" applyFont="1" applyFill="1" applyAlignment="1">
      <alignment horizontal="center" vertical="center"/>
    </xf>
    <xf numFmtId="0" fontId="4" fillId="0" borderId="20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3" borderId="0" xfId="0" applyFill="1" applyAlignment="1">
      <alignment horizontal="right" vertical="center"/>
    </xf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vertical="center"/>
    </xf>
    <xf numFmtId="0" fontId="8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">
    <cellStyle name="Normale" xfId="0" builtinId="0"/>
  </cellStyles>
  <dxfs count="29">
    <dxf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  <border diagonalUp="0" diagonalDown="0">
        <left/>
        <right/>
        <top style="thin">
          <color theme="8"/>
        </top>
        <bottom/>
      </border>
    </dxf>
    <dxf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8"/>
        </top>
        <bottom/>
      </border>
    </dxf>
    <dxf>
      <border outline="0">
        <right style="thin">
          <color theme="8"/>
        </right>
        <top style="thin">
          <color theme="8"/>
        </top>
        <bottom style="thin">
          <color theme="8"/>
        </bottom>
      </border>
    </dxf>
    <dxf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vertical="center" textRotation="0" wrapText="0" indent="0" justifyLastLine="0" shrinkToFit="0" readingOrder="0"/>
      <border diagonalUp="0" diagonalDown="0">
        <left/>
        <right/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8"/>
        </top>
        <bottom/>
      </border>
    </dxf>
    <dxf>
      <border outline="0">
        <right style="thin">
          <color theme="8"/>
        </right>
        <top style="thin">
          <color theme="8"/>
        </top>
        <bottom style="thin">
          <color theme="8"/>
        </bottom>
      </border>
    </dxf>
    <dxf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CC00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1</xdr:row>
          <xdr:rowOff>0</xdr:rowOff>
        </xdr:from>
        <xdr:to>
          <xdr:col>12</xdr:col>
          <xdr:colOff>581025</xdr:colOff>
          <xdr:row>2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Squadra Casa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1</xdr:row>
          <xdr:rowOff>0</xdr:rowOff>
        </xdr:from>
        <xdr:to>
          <xdr:col>15</xdr:col>
          <xdr:colOff>581025</xdr:colOff>
          <xdr:row>2</xdr:row>
          <xdr:rowOff>228600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Squadra Ospite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BB4BDE8-73BB-4B86-9C29-044C4CB1DCEB}" name="Tabella111" displayName="Tabella111" ref="E4:G26" totalsRowShown="0" headerRowDxfId="28" dataDxfId="27">
  <autoFilter ref="E4:G26" xr:uid="{52D9A3E3-DD02-4C54-A04C-C14C14872A49}"/>
  <tableColumns count="3">
    <tableColumn id="1" xr3:uid="{5AF11567-1A64-41A2-890D-F99326B735B5}" name="Colonna1" dataDxfId="26"/>
    <tableColumn id="2" xr3:uid="{809DAB7D-F3A8-4C5A-A2A9-186614DC97B8}" name="N°" dataDxfId="25"/>
    <tableColumn id="3" xr3:uid="{EBB459AD-08CA-485A-ABB9-FC986BC72930}" name="Dati da Caricare" dataDxfId="24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EAAECC1-2E91-4EF3-9788-62BF02162B15}" name="Tabella222" displayName="Tabella222" ref="I4:K26" totalsRowShown="0" headerRowDxfId="23" dataDxfId="22">
  <autoFilter ref="I4:K26" xr:uid="{7F0663B9-3209-46D3-BB06-F8E01132EB05}"/>
  <tableColumns count="3">
    <tableColumn id="1" xr3:uid="{C4DB4360-A332-4079-B8B1-22E7026202A5}" name="Colonna1" dataDxfId="21"/>
    <tableColumn id="2" xr3:uid="{DB356104-3877-4D15-8739-16F03BC0BB06}" name="N°" dataDxfId="20"/>
    <tableColumn id="3" xr3:uid="{C493892C-5F48-4A2E-9A0B-9E9F8DF8E557}" name="Dati da Caricare" dataDxfId="19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E0038B3-63DA-4589-8BE9-3BC34300F7E6}" name="Tabella3" displayName="Tabella3" ref="P4:Q48" totalsRowShown="0" headerRowDxfId="18" dataDxfId="17" tableBorderDxfId="16">
  <autoFilter ref="P4:Q48" xr:uid="{FE0038B3-63DA-4589-8BE9-3BC34300F7E6}"/>
  <tableColumns count="2">
    <tableColumn id="2" xr3:uid="{9CFD5B67-C6EA-49C3-BC17-AA1193BF6CB9}" name="N°" dataDxfId="15"/>
    <tableColumn id="3" xr3:uid="{5F57CAAA-2D40-4143-8776-325ED07937CA}" name="Dati da Caricare" dataDxfId="14">
      <calculatedColumnFormula array="1">IFERROR(INDEX(_xlfn._xlws.FILTER(Tabella1[Giocatori/Dirigenti],Tabella1[Squadra]=Q$2),ROWS($N$5:N5)),"")</calculatedColumnFormula>
    </tableColumn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3A8EB2-3456-4B36-939E-8FB8DDE90E3E}" name="Tabella2" displayName="Tabella2" ref="M4:N48" totalsRowShown="0" headerRowDxfId="13" dataDxfId="12" tableBorderDxfId="11">
  <autoFilter ref="M4:N48" xr:uid="{FF3A8EB2-3456-4B36-939E-8FB8DDE90E3E}"/>
  <tableColumns count="2">
    <tableColumn id="1" xr3:uid="{69303C65-E93A-42DC-93E7-74D023D8A882}" name="N°" dataDxfId="10"/>
    <tableColumn id="2" xr3:uid="{A04B4DE8-B612-4B19-9B7C-9968D23FA42D}" name="Atleti/Dirigenti" dataDxfId="9">
      <calculatedColumnFormula array="1">IFERROR(INDEX(_xlfn._xlws.FILTER(Tabella1[Giocatori/Dirigenti],Tabella1[Squadra]=N$2),ROWS($N$5:N5)),"")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13D23F-8BD2-426F-AA44-A9D9BD99F359}" name="Tabella1" displayName="Tabella1" ref="C3:D307" totalsRowShown="0" headerRowDxfId="8">
  <autoFilter ref="C3:D307" xr:uid="{9313D23F-8BD2-426F-AA44-A9D9BD99F359}"/>
  <sortState xmlns:xlrd2="http://schemas.microsoft.com/office/spreadsheetml/2017/richdata2" ref="C4:D307">
    <sortCondition ref="C4:C307"/>
  </sortState>
  <tableColumns count="2">
    <tableColumn id="1" xr3:uid="{A7A980A1-495D-45F9-B68F-25D408F1E86A}" name="Squadra" dataDxfId="7"/>
    <tableColumn id="2" xr3:uid="{71446E83-06A1-4A39-935B-35BA4BD74948}" name="Giocatori/Dirigenti" dataDxfId="6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129CBB7-7DD6-4DE3-AB74-E6991134A09A}" name="Tabella4" displayName="Tabella4" ref="F3:G264" totalsRowShown="0" headerRowDxfId="5">
  <autoFilter ref="F3:G264" xr:uid="{D129CBB7-7DD6-4DE3-AB74-E6991134A09A}"/>
  <tableColumns count="2">
    <tableColumn id="1" xr3:uid="{1C191119-1870-4D8E-A913-CA2ADA5FC921}" name="Squadra" dataDxfId="4"/>
    <tableColumn id="2" xr3:uid="{9D396ECF-D682-45F9-BA5A-6F384A590EAA}" name="Giocatori/Dirigenti" dataDxfId="3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C59CFD-90FD-4A44-B442-7BE2D4EEA2D7}" name="Tabella5" displayName="Tabella5" ref="I3:J264" totalsRowShown="0" headerRowDxfId="2">
  <autoFilter ref="I3:J264" xr:uid="{0CC59CFD-90FD-4A44-B442-7BE2D4EEA2D7}"/>
  <tableColumns count="2">
    <tableColumn id="1" xr3:uid="{50F4CC66-75FA-4135-8A87-23578658166E}" name="Squadra" dataDxfId="1"/>
    <tableColumn id="2" xr3:uid="{6EDAEBEB-816F-47C3-8E59-786E1E80A934}" name="Giocatori/Dirigenti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33E46-8D0D-4365-856D-1A7E6C1C106F}">
  <sheetPr codeName="Foglio1"/>
  <dimension ref="A1:Q48"/>
  <sheetViews>
    <sheetView showGridLines="0" tabSelected="1" workbookViewId="0">
      <selection activeCell="P21" sqref="P21"/>
    </sheetView>
  </sheetViews>
  <sheetFormatPr defaultRowHeight="15" x14ac:dyDescent="0.25"/>
  <cols>
    <col min="1" max="1" width="11.140625" style="3" bestFit="1" customWidth="1"/>
    <col min="2" max="2" width="14.28515625" style="3" customWidth="1"/>
    <col min="3" max="3" width="22" style="3" customWidth="1"/>
    <col min="4" max="4" width="1.7109375" style="3" customWidth="1"/>
    <col min="5" max="5" width="11.42578125" style="3" customWidth="1"/>
    <col min="6" max="6" width="3.140625" style="25" bestFit="1" customWidth="1"/>
    <col min="7" max="7" width="39.85546875" style="3" bestFit="1" customWidth="1"/>
    <col min="8" max="8" width="1.7109375" style="3" customWidth="1"/>
    <col min="9" max="9" width="11.42578125" style="3" customWidth="1"/>
    <col min="10" max="10" width="3.140625" style="25" bestFit="1" customWidth="1"/>
    <col min="11" max="11" width="36.7109375" style="3" customWidth="1"/>
    <col min="12" max="12" width="1.7109375" style="3" customWidth="1"/>
    <col min="13" max="13" width="9.140625" style="25"/>
    <col min="14" max="14" width="39.85546875" style="3" bestFit="1" customWidth="1"/>
    <col min="15" max="15" width="1.7109375" style="3" customWidth="1"/>
    <col min="16" max="16" width="9.140625" style="25"/>
    <col min="17" max="17" width="36" style="3" bestFit="1" customWidth="1"/>
    <col min="18" max="16384" width="9.140625" style="3"/>
  </cols>
  <sheetData>
    <row r="1" spans="1:17" ht="52.5" customHeight="1" x14ac:dyDescent="0.7">
      <c r="A1" s="47" t="s">
        <v>34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3"/>
      <c r="M1" s="41"/>
      <c r="N1" s="44" t="s">
        <v>327</v>
      </c>
      <c r="O1" s="43"/>
      <c r="P1" s="41"/>
      <c r="Q1" s="45" t="s">
        <v>328</v>
      </c>
    </row>
    <row r="2" spans="1:17" ht="15.75" customHeight="1" x14ac:dyDescent="0.25">
      <c r="A2" s="42"/>
      <c r="B2" s="42"/>
      <c r="C2" s="42"/>
      <c r="D2" s="42"/>
      <c r="E2" s="43"/>
      <c r="F2" s="41"/>
      <c r="G2" s="43"/>
      <c r="H2" s="43"/>
      <c r="I2" s="43"/>
      <c r="J2" s="41"/>
      <c r="K2" s="43"/>
      <c r="L2" s="43"/>
      <c r="M2" s="41"/>
      <c r="N2" s="46" t="s">
        <v>38</v>
      </c>
      <c r="O2" s="43"/>
      <c r="P2" s="41"/>
      <c r="Q2" s="46" t="s">
        <v>44</v>
      </c>
    </row>
    <row r="3" spans="1:17" ht="25.5" customHeight="1" x14ac:dyDescent="0.25">
      <c r="A3" s="48" t="s">
        <v>33</v>
      </c>
      <c r="B3" s="48"/>
      <c r="C3" s="48"/>
      <c r="D3" s="43"/>
      <c r="E3" s="48" t="s">
        <v>32</v>
      </c>
      <c r="F3" s="48"/>
      <c r="G3" s="48"/>
      <c r="H3" s="48"/>
      <c r="I3" s="48"/>
      <c r="J3" s="48"/>
      <c r="K3" s="48"/>
      <c r="L3" s="43"/>
      <c r="M3" s="41"/>
      <c r="N3" s="43"/>
      <c r="O3" s="43"/>
      <c r="P3" s="41"/>
      <c r="Q3" s="43"/>
    </row>
    <row r="4" spans="1:17" x14ac:dyDescent="0.25">
      <c r="A4" s="9" t="s">
        <v>21</v>
      </c>
      <c r="B4" s="5" t="s">
        <v>31</v>
      </c>
      <c r="C4" s="5">
        <v>8756</v>
      </c>
      <c r="E4" s="3" t="s">
        <v>9</v>
      </c>
      <c r="F4" s="25" t="s">
        <v>1</v>
      </c>
      <c r="G4" s="3" t="s">
        <v>30</v>
      </c>
      <c r="I4" s="3" t="s">
        <v>9</v>
      </c>
      <c r="J4" s="25" t="s">
        <v>1</v>
      </c>
      <c r="K4" s="3" t="s">
        <v>30</v>
      </c>
      <c r="M4" s="33" t="s">
        <v>1</v>
      </c>
      <c r="N4" s="33" t="s">
        <v>329</v>
      </c>
      <c r="O4" s="4"/>
      <c r="P4" s="33" t="s">
        <v>1</v>
      </c>
      <c r="Q4" s="33" t="s">
        <v>30</v>
      </c>
    </row>
    <row r="5" spans="1:17" x14ac:dyDescent="0.25">
      <c r="A5" s="9" t="s">
        <v>21</v>
      </c>
      <c r="B5" s="5" t="s">
        <v>29</v>
      </c>
      <c r="C5" s="6">
        <f ca="1">TODAY()</f>
        <v>46260</v>
      </c>
      <c r="E5" s="27" t="s">
        <v>28</v>
      </c>
      <c r="F5" s="41"/>
      <c r="G5" s="38" t="s">
        <v>38</v>
      </c>
      <c r="I5" s="27" t="s">
        <v>27</v>
      </c>
      <c r="J5" s="41"/>
      <c r="K5" s="38" t="s">
        <v>44</v>
      </c>
      <c r="M5" s="26"/>
      <c r="N5" s="24" t="str" cm="1">
        <f t="array" ref="N5">IFERROR(INDEX(_xlfn._xlws.FILTER(Tabella1[Giocatori/Dirigenti],Tabella1[Squadra]=N$2),ROWS($N$5:N5)),"")</f>
        <v>Ahanda Orlane</v>
      </c>
      <c r="P5" s="26">
        <v>32</v>
      </c>
      <c r="Q5" s="3" t="str" cm="1">
        <f t="array" ref="Q5">IFERROR(INDEX(_xlfn._xlws.FILTER(Tabella1[Giocatori/Dirigenti],Tabella1[Squadra]=Q$2),ROWS($N$5:N5)),"")</f>
        <v>Di Mise Ilaria</v>
      </c>
    </row>
    <row r="6" spans="1:17" x14ac:dyDescent="0.25">
      <c r="A6" s="9" t="s">
        <v>21</v>
      </c>
      <c r="B6" s="5" t="s">
        <v>26</v>
      </c>
      <c r="C6" s="7">
        <v>0.5</v>
      </c>
      <c r="E6" s="27" t="s">
        <v>10</v>
      </c>
      <c r="F6" s="25">
        <v>1</v>
      </c>
      <c r="G6" s="3" t="s">
        <v>61</v>
      </c>
      <c r="I6" s="27" t="s">
        <v>12</v>
      </c>
      <c r="J6" s="25">
        <v>2</v>
      </c>
      <c r="K6" s="3" t="s">
        <v>386</v>
      </c>
      <c r="M6" s="26" t="s">
        <v>5</v>
      </c>
      <c r="N6" s="24" t="str" cm="1">
        <f t="array" ref="N6">IFERROR(INDEX(_xlfn._xlws.FILTER(Tabella1[Giocatori/Dirigenti],Tabella1[Squadra]=N$2),ROWS($N$5:N6)),"")</f>
        <v>Andrea Miseri</v>
      </c>
      <c r="P6" s="26">
        <v>18</v>
      </c>
      <c r="Q6" s="3" t="str" cm="1">
        <f t="array" ref="Q6">IFERROR(INDEX(_xlfn._xlws.FILTER(Tabella1[Giocatori/Dirigenti],Tabella1[Squadra]=Q$2),ROWS($N$5:N6)),"")</f>
        <v>Caccioppoli Carmen</v>
      </c>
    </row>
    <row r="7" spans="1:17" x14ac:dyDescent="0.25">
      <c r="A7" s="9" t="s">
        <v>21</v>
      </c>
      <c r="B7" s="5" t="s">
        <v>25</v>
      </c>
      <c r="C7" s="5" t="s">
        <v>310</v>
      </c>
      <c r="E7" s="27" t="s">
        <v>10</v>
      </c>
      <c r="F7" s="25">
        <v>10</v>
      </c>
      <c r="G7" s="3" t="s">
        <v>70</v>
      </c>
      <c r="I7" s="27" t="s">
        <v>12</v>
      </c>
      <c r="J7" s="25">
        <v>3</v>
      </c>
      <c r="K7" s="3" t="s">
        <v>387</v>
      </c>
      <c r="M7" s="26">
        <v>15</v>
      </c>
      <c r="N7" s="24" t="str" cm="1">
        <f t="array" ref="N7">IFERROR(INDEX(_xlfn._xlws.FILTER(Tabella1[Giocatori/Dirigenti],Tabella1[Squadra]=N$2),ROWS($N$5:N7)),"")</f>
        <v>Bernabei Nicole Elisa</v>
      </c>
      <c r="P7" s="26">
        <v>2</v>
      </c>
      <c r="Q7" s="3" t="str" cm="1">
        <f t="array" ref="Q7">IFERROR(INDEX(_xlfn._xlws.FILTER(Tabella1[Giocatori/Dirigenti],Tabella1[Squadra]=Q$2),ROWS($N$5:N7)),"")</f>
        <v>Di Leo Maghy</v>
      </c>
    </row>
    <row r="8" spans="1:17" x14ac:dyDescent="0.25">
      <c r="A8" s="9" t="s">
        <v>21</v>
      </c>
      <c r="B8" s="5" t="s">
        <v>24</v>
      </c>
      <c r="C8" s="5" t="s">
        <v>23</v>
      </c>
      <c r="E8" s="27" t="s">
        <v>10</v>
      </c>
      <c r="F8" s="25">
        <v>13</v>
      </c>
      <c r="G8" s="3" t="s">
        <v>6</v>
      </c>
      <c r="I8" s="27" t="s">
        <v>12</v>
      </c>
      <c r="J8" s="25">
        <v>7</v>
      </c>
      <c r="K8" s="3" t="s">
        <v>393</v>
      </c>
      <c r="M8" s="26" t="s">
        <v>0</v>
      </c>
      <c r="N8" s="24" t="str" cm="1">
        <f t="array" ref="N8">IFERROR(INDEX(_xlfn._xlws.FILTER(Tabella1[Giocatori/Dirigenti],Tabella1[Squadra]=N$2),ROWS($N$5:N8)),"")</f>
        <v>Bougeant Frédéric</v>
      </c>
      <c r="P8" s="26">
        <v>3</v>
      </c>
      <c r="Q8" s="3" t="str" cm="1">
        <f t="array" ref="Q8">IFERROR(INDEX(_xlfn._xlws.FILTER(Tabella1[Giocatori/Dirigenti],Tabella1[Squadra]=Q$2),ROWS($N$5:N8)),"")</f>
        <v>Martino Michela</v>
      </c>
    </row>
    <row r="9" spans="1:17" x14ac:dyDescent="0.25">
      <c r="A9" s="9" t="s">
        <v>21</v>
      </c>
      <c r="B9" s="5" t="s">
        <v>22</v>
      </c>
      <c r="C9" s="5" t="s">
        <v>332</v>
      </c>
      <c r="E9" s="27" t="s">
        <v>10</v>
      </c>
      <c r="F9" s="25">
        <v>15</v>
      </c>
      <c r="G9" s="3" t="s">
        <v>52</v>
      </c>
      <c r="I9" s="27" t="s">
        <v>12</v>
      </c>
      <c r="J9" s="25">
        <v>10</v>
      </c>
      <c r="K9" s="3" t="s">
        <v>394</v>
      </c>
      <c r="M9" s="26">
        <v>99</v>
      </c>
      <c r="N9" s="24" t="str" cm="1">
        <f t="array" ref="N9">IFERROR(INDEX(_xlfn._xlws.FILTER(Tabella1[Giocatori/Dirigenti],Tabella1[Squadra]=N$2),ROWS($N$5:N9)),"")</f>
        <v>Cabral Barbosa Alexandrina</v>
      </c>
      <c r="P9" s="26">
        <v>57</v>
      </c>
      <c r="Q9" s="3" t="str" cm="1">
        <f t="array" ref="Q9">IFERROR(INDEX(_xlfn._xlws.FILTER(Tabella1[Giocatori/Dirigenti],Tabella1[Squadra]=Q$2),ROWS($N$5:N9)),"")</f>
        <v>Sarcià Sophie</v>
      </c>
    </row>
    <row r="10" spans="1:17" x14ac:dyDescent="0.25">
      <c r="A10" s="9" t="s">
        <v>21</v>
      </c>
      <c r="B10" s="5" t="s">
        <v>20</v>
      </c>
      <c r="C10" s="8" t="s">
        <v>19</v>
      </c>
      <c r="E10" s="27" t="s">
        <v>10</v>
      </c>
      <c r="F10" s="25">
        <v>16</v>
      </c>
      <c r="G10" s="3" t="s">
        <v>66</v>
      </c>
      <c r="I10" s="27" t="s">
        <v>12</v>
      </c>
      <c r="J10" s="25">
        <v>18</v>
      </c>
      <c r="K10" s="3" t="s">
        <v>385</v>
      </c>
      <c r="M10" s="26" t="s">
        <v>331</v>
      </c>
      <c r="N10" s="24" t="str" cm="1">
        <f t="array" ref="N10">IFERROR(INDEX(_xlfn._xlws.FILTER(Tabella1[Giocatori/Dirigenti],Tabella1[Squadra]=N$2),ROWS($N$5:N10)),"")</f>
        <v>Chana Masson</v>
      </c>
      <c r="P10" s="26">
        <v>66</v>
      </c>
      <c r="Q10" s="3" t="str" cm="1">
        <f t="array" ref="Q10">IFERROR(INDEX(_xlfn._xlws.FILTER(Tabella1[Giocatori/Dirigenti],Tabella1[Squadra]=Q$2),ROWS($N$5:N10)),"")</f>
        <v>Berardi Silvia Sofia</v>
      </c>
    </row>
    <row r="11" spans="1:17" x14ac:dyDescent="0.25">
      <c r="A11" s="39"/>
      <c r="B11" s="40"/>
      <c r="C11" s="40"/>
      <c r="E11" s="27" t="s">
        <v>10</v>
      </c>
      <c r="F11" s="25">
        <v>17</v>
      </c>
      <c r="G11" s="3" t="s">
        <v>54</v>
      </c>
      <c r="I11" s="27" t="s">
        <v>12</v>
      </c>
      <c r="J11" s="25">
        <v>32</v>
      </c>
      <c r="K11" s="3" t="s">
        <v>380</v>
      </c>
      <c r="M11" s="26">
        <v>17</v>
      </c>
      <c r="N11" s="24" t="str" cm="1">
        <f t="array" ref="N11">IFERROR(INDEX(_xlfn._xlws.FILTER(Tabella1[Giocatori/Dirigenti],Tabella1[Squadra]=N$2),ROWS($N$5:N11)),"")</f>
        <v>Cozzi Melina Ximena</v>
      </c>
      <c r="P11" s="26">
        <v>90</v>
      </c>
      <c r="Q11" s="3" t="str" cm="1">
        <f t="array" ref="Q11">IFERROR(INDEX(_xlfn._xlws.FILTER(Tabella1[Giocatori/Dirigenti],Tabella1[Squadra]=Q$2),ROWS($N$5:N11)),"")</f>
        <v>Mastroscianni Ilaria</v>
      </c>
    </row>
    <row r="12" spans="1:17" x14ac:dyDescent="0.25">
      <c r="A12" s="9" t="s">
        <v>15</v>
      </c>
      <c r="B12" s="5" t="s">
        <v>18</v>
      </c>
      <c r="C12" s="5" t="s">
        <v>35</v>
      </c>
      <c r="E12" s="27" t="s">
        <v>10</v>
      </c>
      <c r="F12" s="25">
        <v>18</v>
      </c>
      <c r="G12" s="3" t="s">
        <v>72</v>
      </c>
      <c r="I12" s="27" t="s">
        <v>12</v>
      </c>
      <c r="J12" s="25">
        <v>33</v>
      </c>
      <c r="K12" s="3" t="s">
        <v>397</v>
      </c>
      <c r="M12" s="26">
        <v>61</v>
      </c>
      <c r="N12" s="24" t="str" cm="1">
        <f t="array" ref="N12">IFERROR(INDEX(_xlfn._xlws.FILTER(Tabella1[Giocatori/Dirigenti],Tabella1[Squadra]=N$2),ROWS($N$5:N12)),"")</f>
        <v>Dalle Crode Lucia</v>
      </c>
      <c r="P12" s="26" t="s">
        <v>5</v>
      </c>
      <c r="Q12" s="3" t="str" cm="1">
        <f t="array" ref="Q12">IFERROR(INDEX(_xlfn._xlws.FILTER(Tabella1[Giocatori/Dirigenti],Tabella1[Squadra]=Q$2),ROWS($N$5:N12)),"")</f>
        <v>Martinelli Francesca</v>
      </c>
    </row>
    <row r="13" spans="1:17" x14ac:dyDescent="0.25">
      <c r="A13" s="9" t="s">
        <v>15</v>
      </c>
      <c r="B13" s="5" t="s">
        <v>17</v>
      </c>
      <c r="C13" s="5" t="s">
        <v>36</v>
      </c>
      <c r="E13" s="27" t="s">
        <v>10</v>
      </c>
      <c r="F13" s="25">
        <v>20</v>
      </c>
      <c r="G13" s="3" t="s">
        <v>63</v>
      </c>
      <c r="I13" s="27" t="s">
        <v>12</v>
      </c>
      <c r="J13" s="25">
        <v>35</v>
      </c>
      <c r="K13" s="3" t="s">
        <v>395</v>
      </c>
      <c r="M13" s="26"/>
      <c r="N13" s="24" t="str" cm="1">
        <f t="array" ref="N13">IFERROR(INDEX(_xlfn._xlws.FILTER(Tabella1[Giocatori/Dirigenti],Tabella1[Squadra]=N$2),ROWS($N$5:N13)),"")</f>
        <v>De Marinis Maira</v>
      </c>
      <c r="P13" s="26" t="s">
        <v>0</v>
      </c>
      <c r="Q13" s="3" t="str" cm="1">
        <f t="array" ref="Q13">IFERROR(INDEX(_xlfn._xlws.FILTER(Tabella1[Giocatori/Dirigenti],Tabella1[Squadra]=Q$2),ROWS($N$5:N13)),"")</f>
        <v>Giannini Donatella</v>
      </c>
    </row>
    <row r="14" spans="1:17" x14ac:dyDescent="0.25">
      <c r="A14" s="9" t="s">
        <v>15</v>
      </c>
      <c r="B14" s="5" t="s">
        <v>16</v>
      </c>
      <c r="C14" s="5" t="s">
        <v>37</v>
      </c>
      <c r="E14" s="27" t="s">
        <v>10</v>
      </c>
      <c r="F14" s="25">
        <v>32</v>
      </c>
      <c r="G14" s="3" t="s">
        <v>60</v>
      </c>
      <c r="I14" s="27" t="s">
        <v>12</v>
      </c>
      <c r="J14" s="25">
        <v>36</v>
      </c>
      <c r="K14" s="3" t="s">
        <v>396</v>
      </c>
      <c r="M14" s="26"/>
      <c r="N14" s="24" t="str" cm="1">
        <f t="array" ref="N14">IFERROR(INDEX(_xlfn._xlws.FILTER(Tabella1[Giocatori/Dirigenti],Tabella1[Squadra]=N$2),ROWS($N$5:N14)),"")</f>
        <v>Di Prisco Francesca</v>
      </c>
      <c r="P14" s="26">
        <v>7</v>
      </c>
      <c r="Q14" s="3" t="str" cm="1">
        <f t="array" ref="Q14">IFERROR(INDEX(_xlfn._xlws.FILTER(Tabella1[Giocatori/Dirigenti],Tabella1[Squadra]=Q$2),ROWS($N$5:N14)),"")</f>
        <v>Duda Sonia</v>
      </c>
    </row>
    <row r="15" spans="1:17" x14ac:dyDescent="0.25">
      <c r="A15" s="9" t="s">
        <v>15</v>
      </c>
      <c r="B15" s="5" t="s">
        <v>14</v>
      </c>
      <c r="C15" s="5"/>
      <c r="E15" s="27" t="s">
        <v>10</v>
      </c>
      <c r="F15" s="25">
        <v>39</v>
      </c>
      <c r="G15" s="3" t="s">
        <v>59</v>
      </c>
      <c r="I15" s="27" t="s">
        <v>12</v>
      </c>
      <c r="J15" s="25">
        <v>48</v>
      </c>
      <c r="K15" s="3" t="s">
        <v>398</v>
      </c>
      <c r="M15" s="26">
        <v>81</v>
      </c>
      <c r="N15" s="24" t="str" cm="1">
        <f t="array" ref="N15">IFERROR(INDEX(_xlfn._xlws.FILTER(Tabella1[Giocatori/Dirigenti],Tabella1[Squadra]=N$2),ROWS($N$5:N15)),"")</f>
        <v>Do Nascimento Martinez Alexandra Priscila</v>
      </c>
      <c r="P15" s="26">
        <v>10</v>
      </c>
      <c r="Q15" s="3" t="str" cm="1">
        <f t="array" ref="Q15">IFERROR(INDEX(_xlfn._xlws.FILTER(Tabella1[Giocatori/Dirigenti],Tabella1[Squadra]=Q$2),ROWS($N$5:N15)),"")</f>
        <v>Aftodor Paola</v>
      </c>
    </row>
    <row r="16" spans="1:17" x14ac:dyDescent="0.25">
      <c r="E16" s="27" t="s">
        <v>10</v>
      </c>
      <c r="F16" s="25">
        <v>50</v>
      </c>
      <c r="G16" s="3" t="s">
        <v>62</v>
      </c>
      <c r="I16" s="27" t="s">
        <v>12</v>
      </c>
      <c r="J16" s="25">
        <v>57</v>
      </c>
      <c r="K16" s="3" t="s">
        <v>388</v>
      </c>
      <c r="M16" s="26">
        <v>39</v>
      </c>
      <c r="N16" s="24" t="str" cm="1">
        <f t="array" ref="N16">IFERROR(INDEX(_xlfn._xlws.FILTER(Tabella1[Giocatori/Dirigenti],Tabella1[Squadra]=N$2),ROWS($N$5:N16)),"")</f>
        <v>Fanton Irene</v>
      </c>
      <c r="P16" s="26">
        <v>35</v>
      </c>
      <c r="Q16" s="3" t="str" cm="1">
        <f t="array" ref="Q16">IFERROR(INDEX(_xlfn._xlws.FILTER(Tabella1[Giocatori/Dirigenti],Tabella1[Squadra]=Q$2),ROWS($N$5:N16)),"")</f>
        <v>Simone Claudia</v>
      </c>
    </row>
    <row r="17" spans="4:17" x14ac:dyDescent="0.25">
      <c r="E17" s="27" t="s">
        <v>10</v>
      </c>
      <c r="F17" s="25">
        <v>61</v>
      </c>
      <c r="G17" s="3" t="s">
        <v>55</v>
      </c>
      <c r="I17" s="27" t="s">
        <v>12</v>
      </c>
      <c r="J17" s="25">
        <v>66</v>
      </c>
      <c r="K17" s="3" t="s">
        <v>389</v>
      </c>
      <c r="M17" s="26">
        <v>13</v>
      </c>
      <c r="N17" s="24" t="str" cm="1">
        <f t="array" ref="N17">IFERROR(INDEX(_xlfn._xlws.FILTER(Tabella1[Giocatori/Dirigenti],Tabella1[Squadra]=N$2),ROWS($N$5:N17)),"")</f>
        <v>Francesco Fierro</v>
      </c>
      <c r="P17" s="26">
        <v>36</v>
      </c>
      <c r="Q17" s="3" t="str" cm="1">
        <f t="array" ref="Q17">IFERROR(INDEX(_xlfn._xlws.FILTER(Tabella1[Giocatori/Dirigenti],Tabella1[Squadra]=Q$2),ROWS($N$5:N17)),"")</f>
        <v>Fanelli Raffaella</v>
      </c>
    </row>
    <row r="18" spans="4:17" x14ac:dyDescent="0.25">
      <c r="E18" s="27" t="s">
        <v>10</v>
      </c>
      <c r="F18" s="25">
        <v>71</v>
      </c>
      <c r="G18" s="3" t="s">
        <v>71</v>
      </c>
      <c r="I18" s="27" t="s">
        <v>12</v>
      </c>
      <c r="J18" s="25">
        <v>72</v>
      </c>
      <c r="K18" s="3" t="s">
        <v>384</v>
      </c>
      <c r="M18" s="26">
        <v>32</v>
      </c>
      <c r="N18" s="24" t="str" cm="1">
        <f t="array" ref="N18">IFERROR(INDEX(_xlfn._xlws.FILTER(Tabella1[Giocatori/Dirigenti],Tabella1[Squadra]=N$2),ROWS($N$5:N18)),"")</f>
        <v>Gandulfo Macarena</v>
      </c>
      <c r="P18" s="26">
        <v>33</v>
      </c>
      <c r="Q18" s="3" t="str" cm="1">
        <f t="array" ref="Q18">IFERROR(INDEX(_xlfn._xlws.FILTER(Tabella1[Giocatori/Dirigenti],Tabella1[Squadra]=Q$2),ROWS($N$5:N18)),"")</f>
        <v>Di Maggio Sofia</v>
      </c>
    </row>
    <row r="19" spans="4:17" x14ac:dyDescent="0.25">
      <c r="E19" s="27" t="s">
        <v>10</v>
      </c>
      <c r="F19" s="25">
        <v>81</v>
      </c>
      <c r="G19" s="3" t="s">
        <v>58</v>
      </c>
      <c r="I19" s="27" t="s">
        <v>12</v>
      </c>
      <c r="J19" s="25">
        <v>90</v>
      </c>
      <c r="K19" s="3" t="s">
        <v>390</v>
      </c>
      <c r="M19" s="26">
        <v>1</v>
      </c>
      <c r="N19" s="24" t="str" cm="1">
        <f t="array" ref="N19">IFERROR(INDEX(_xlfn._xlws.FILTER(Tabella1[Giocatori/Dirigenti],Tabella1[Squadra]=N$2),ROWS($N$5:N19)),"")</f>
        <v>Iacovello Martina</v>
      </c>
      <c r="P19" s="26">
        <v>48</v>
      </c>
      <c r="Q19" s="3" t="str" cm="1">
        <f t="array" ref="Q19">IFERROR(INDEX(_xlfn._xlws.FILTER(Tabella1[Giocatori/Dirigenti],Tabella1[Squadra]=Q$2),ROWS($N$5:N19)),"")</f>
        <v>Paciello Karol</v>
      </c>
    </row>
    <row r="20" spans="4:17" x14ac:dyDescent="0.25">
      <c r="E20" s="27" t="s">
        <v>10</v>
      </c>
      <c r="F20" s="25">
        <v>85</v>
      </c>
      <c r="G20" s="3" t="s">
        <v>69</v>
      </c>
      <c r="I20" s="27" t="s">
        <v>12</v>
      </c>
      <c r="M20" s="26"/>
      <c r="N20" s="24" t="str" cm="1">
        <f t="array" ref="N20">IFERROR(INDEX(_xlfn._xlws.FILTER(Tabella1[Giocatori/Dirigenti],Tabella1[Squadra]=N$2),ROWS($N$5:N20)),"")</f>
        <v>Kapitanovic Ivana</v>
      </c>
      <c r="P20" s="26">
        <v>72</v>
      </c>
      <c r="Q20" s="3" t="str" cm="1">
        <f t="array" ref="Q20">IFERROR(INDEX(_xlfn._xlws.FILTER(Tabella1[Giocatori/Dirigenti],Tabella1[Squadra]=Q$2),ROWS($N$5:N20)),"")</f>
        <v>De Marinis Fonte</v>
      </c>
    </row>
    <row r="21" spans="4:17" x14ac:dyDescent="0.25">
      <c r="E21" s="27" t="s">
        <v>10</v>
      </c>
      <c r="F21" s="25">
        <v>99</v>
      </c>
      <c r="G21" s="3" t="s">
        <v>53</v>
      </c>
      <c r="I21" s="27" t="s">
        <v>12</v>
      </c>
      <c r="M21" s="26">
        <v>50</v>
      </c>
      <c r="N21" s="24" t="str" cm="1">
        <f t="array" ref="N21">IFERROR(INDEX(_xlfn._xlws.FILTER(Tabella1[Giocatori/Dirigenti],Tabella1[Squadra]=N$2),ROWS($N$5:N21)),"")</f>
        <v>Losio Giulia Teresa</v>
      </c>
      <c r="P21" s="26"/>
      <c r="Q21" s="3" t="str" cm="1">
        <f t="array" ref="Q21">IFERROR(INDEX(_xlfn._xlws.FILTER(Tabella1[Giocatori/Dirigenti],Tabella1[Squadra]=Q$2),ROWS($N$5:N21)),"")</f>
        <v>De Nigris Ilaria</v>
      </c>
    </row>
    <row r="22" spans="4:17" x14ac:dyDescent="0.25">
      <c r="E22" s="27" t="s">
        <v>11</v>
      </c>
      <c r="F22" s="25" t="s">
        <v>5</v>
      </c>
      <c r="G22" s="3" t="s">
        <v>8</v>
      </c>
      <c r="I22" s="27" t="s">
        <v>13</v>
      </c>
      <c r="J22" s="25" t="s">
        <v>5</v>
      </c>
      <c r="K22" s="3" t="s">
        <v>391</v>
      </c>
      <c r="M22" s="26">
        <v>20</v>
      </c>
      <c r="N22" s="24" t="str" cm="1">
        <f t="array" ref="N22">IFERROR(INDEX(_xlfn._xlws.FILTER(Tabella1[Giocatori/Dirigenti],Tabella1[Squadra]=N$2),ROWS($N$5:N22)),"")</f>
        <v>Manojlovic Ramona Vesna</v>
      </c>
      <c r="P22" s="26"/>
      <c r="Q22" s="3" t="str" cm="1">
        <f t="array" ref="Q22">IFERROR(INDEX(_xlfn._xlws.FILTER(Tabella1[Giocatori/Dirigenti],Tabella1[Squadra]=Q$2),ROWS($N$5:N22)),"")</f>
        <v>Di Maggio Ritanna</v>
      </c>
    </row>
    <row r="23" spans="4:17" x14ac:dyDescent="0.25">
      <c r="E23" s="27" t="s">
        <v>11</v>
      </c>
      <c r="F23" s="25" t="s">
        <v>0</v>
      </c>
      <c r="G23" s="3" t="s">
        <v>76</v>
      </c>
      <c r="I23" s="27" t="s">
        <v>13</v>
      </c>
      <c r="J23" s="25" t="s">
        <v>0</v>
      </c>
      <c r="K23" s="3" t="s">
        <v>392</v>
      </c>
      <c r="M23" s="26"/>
      <c r="N23" s="24" t="str" cm="1">
        <f t="array" ref="N23">IFERROR(INDEX(_xlfn._xlws.FILTER(Tabella1[Giocatori/Dirigenti],Tabella1[Squadra]=N$2),ROWS($N$5:N23)),"")</f>
        <v>Martinez Bizzotto Valentina</v>
      </c>
      <c r="P23" s="26"/>
      <c r="Q23" s="3" t="str" cm="1">
        <f t="array" ref="Q23">IFERROR(INDEX(_xlfn._xlws.FILTER(Tabella1[Giocatori/Dirigenti],Tabella1[Squadra]=Q$2),ROWS($N$5:N23)),"")</f>
        <v>Gattulli Giulia</v>
      </c>
    </row>
    <row r="24" spans="4:17" x14ac:dyDescent="0.25">
      <c r="D24" s="32" t="str" cm="1">
        <f t="array" ref="D24:D37">IF($C$7=Squadre!$B$6,_xlfn._xlws.FILTER(Squadre!$E$6:$E$36,Squadre!$E$6:$E$36&lt;&gt;""),IF($C$7=Squadre!$B$7,_xlfn._xlws.FILTER(Squadre!$H$6:$H$36,Squadre!$H$6:$H$36&lt;&gt;""),""))</f>
        <v>AC Life Style Erice</v>
      </c>
      <c r="E24" s="27" t="s">
        <v>11</v>
      </c>
      <c r="F24" s="25" t="s">
        <v>330</v>
      </c>
      <c r="G24" s="3" t="s">
        <v>7</v>
      </c>
      <c r="I24" s="27" t="s">
        <v>13</v>
      </c>
      <c r="M24" s="26" t="s">
        <v>330</v>
      </c>
      <c r="N24" s="24" t="str" cm="1">
        <f t="array" ref="N24">IFERROR(INDEX(_xlfn._xlws.FILTER(Tabella1[Giocatori/Dirigenti],Tabella1[Squadra]=N$2),ROWS($N$5:N24)),"")</f>
        <v>Michele Veronese</v>
      </c>
      <c r="P24" s="26"/>
      <c r="Q24" s="3" t="str" cm="1">
        <f t="array" ref="Q24">IFERROR(INDEX(_xlfn._xlws.FILTER(Tabella1[Giocatori/Dirigenti],Tabella1[Squadra]=Q$2),ROWS($N$5:N24)),"")</f>
        <v/>
      </c>
    </row>
    <row r="25" spans="4:17" x14ac:dyDescent="0.25">
      <c r="D25" s="32" t="str">
        <v>Alì-Best Espresso Mestrino</v>
      </c>
      <c r="E25" s="27" t="s">
        <v>11</v>
      </c>
      <c r="F25" s="25" t="s">
        <v>331</v>
      </c>
      <c r="G25" s="3" t="s">
        <v>3</v>
      </c>
      <c r="I25" s="27" t="s">
        <v>13</v>
      </c>
      <c r="M25" s="26"/>
      <c r="N25" s="24" t="str" cm="1">
        <f t="array" ref="N25">IFERROR(INDEX(_xlfn._xlws.FILTER(Tabella1[Giocatori/Dirigenti],Tabella1[Squadra]=N$2),ROWS($N$5:N25)),"")</f>
        <v>Narkis Arrondo</v>
      </c>
      <c r="P25" s="26"/>
      <c r="Q25" s="3" t="str" cm="1">
        <f t="array" ref="Q25">IFERROR(INDEX(_xlfn._xlws.FILTER(Tabella1[Giocatori/Dirigenti],Tabella1[Squadra]=Q$2),ROWS($N$5:N25)),"")</f>
        <v/>
      </c>
    </row>
    <row r="26" spans="4:17" x14ac:dyDescent="0.25">
      <c r="D26" s="32" t="str">
        <v>Brixen Südtirol</v>
      </c>
      <c r="E26" s="27" t="s">
        <v>11</v>
      </c>
      <c r="I26" s="27" t="s">
        <v>13</v>
      </c>
      <c r="M26" s="26"/>
      <c r="N26" s="24" t="str" cm="1">
        <f t="array" ref="N26">IFERROR(INDEX(_xlfn._xlws.FILTER(Tabella1[Giocatori/Dirigenti],Tabella1[Squadra]=N$2),ROWS($N$5:N26)),"")</f>
        <v>Niakate Kalidiatou</v>
      </c>
      <c r="P26" s="26"/>
      <c r="Q26" s="3" t="str" cm="1">
        <f t="array" ref="Q26">IFERROR(INDEX(_xlfn._xlws.FILTER(Tabella1[Giocatori/Dirigenti],Tabella1[Squadra]=Q$2),ROWS($N$5:N26)),"")</f>
        <v/>
      </c>
    </row>
    <row r="27" spans="4:17" x14ac:dyDescent="0.25">
      <c r="D27" s="32" t="str">
        <v>Casalgrande Padana</v>
      </c>
      <c r="M27" s="26"/>
      <c r="N27" s="24" t="str" cm="1">
        <f t="array" ref="N27">IFERROR(INDEX(_xlfn._xlws.FILTER(Tabella1[Giocatori/Dirigenti],Tabella1[Squadra]=N$2),ROWS($N$5:N27)),"")</f>
        <v>Nilsen Silje</v>
      </c>
      <c r="P27" s="26"/>
      <c r="Q27" s="3" t="str" cm="1">
        <f t="array" ref="Q27">IFERROR(INDEX(_xlfn._xlws.FILTER(Tabella1[Giocatori/Dirigenti],Tabella1[Squadra]=Q$2),ROWS($N$5:N27)),"")</f>
        <v/>
      </c>
    </row>
    <row r="28" spans="4:17" x14ac:dyDescent="0.25">
      <c r="D28" s="32" t="str">
        <v>Cassano Magnago</v>
      </c>
      <c r="N28" s="24" t="str" cm="1">
        <f t="array" ref="N28">IFERROR(INDEX(_xlfn._xlws.FILTER(Tabella1[Giocatori/Dirigenti],Tabella1[Squadra]=N$2),ROWS($N$5:N28)),"")</f>
        <v>Patricio Ansaldi</v>
      </c>
      <c r="Q28" s="3" t="str" cm="1">
        <f t="array" ref="Q28">IFERROR(INDEX(_xlfn._xlws.FILTER(Tabella1[Giocatori/Dirigenti],Tabella1[Squadra]=Q$2),ROWS($N$5:N28)),"")</f>
        <v/>
      </c>
    </row>
    <row r="29" spans="4:17" x14ac:dyDescent="0.25">
      <c r="D29" s="32" t="str">
        <v>Cellini Padova</v>
      </c>
      <c r="M29" s="25">
        <v>16</v>
      </c>
      <c r="N29" s="24" t="str" cm="1">
        <f t="array" ref="N29">IFERROR(INDEX(_xlfn._xlws.FILTER(Tabella1[Giocatori/Dirigenti],Tabella1[Squadra]=N$2),ROWS($N$5:N29)),"")</f>
        <v>Pessoa Constantino Gabriela</v>
      </c>
      <c r="Q29" s="3" t="str" cm="1">
        <f t="array" ref="Q29">IFERROR(INDEX(_xlfn._xlws.FILTER(Tabella1[Giocatori/Dirigenti],Tabella1[Squadra]=Q$2),ROWS($N$5:N29)),"")</f>
        <v/>
      </c>
    </row>
    <row r="30" spans="4:17" x14ac:dyDescent="0.25">
      <c r="D30" s="32" t="str">
        <v>Conversano</v>
      </c>
      <c r="N30" s="24" t="str" cm="1">
        <f t="array" ref="N30">IFERROR(INDEX(_xlfn._xlws.FILTER(Tabella1[Giocatori/Dirigenti],Tabella1[Squadra]=N$2),ROWS($N$5:N30)),"")</f>
        <v>Priolo Chiara</v>
      </c>
      <c r="Q30" s="3" t="str" cm="1">
        <f t="array" ref="Q30">IFERROR(INDEX(_xlfn._xlws.FILTER(Tabella1[Giocatori/Dirigenti],Tabella1[Squadra]=Q$2),ROWS($N$5:N30)),"")</f>
        <v/>
      </c>
    </row>
    <row r="31" spans="4:17" x14ac:dyDescent="0.25">
      <c r="D31" s="32" t="str">
        <v>HAC Germancar Nuoro</v>
      </c>
      <c r="N31" s="24" t="str" cm="1">
        <f t="array" ref="N31">IFERROR(INDEX(_xlfn._xlws.FILTER(Tabella1[Giocatori/Dirigenti],Tabella1[Squadra]=N$2),ROWS($N$5:N31)),"")</f>
        <v>Sablic Sara</v>
      </c>
      <c r="Q31" s="3" t="str" cm="1">
        <f t="array" ref="Q31">IFERROR(INDEX(_xlfn._xlws.FILTER(Tabella1[Giocatori/Dirigenti],Tabella1[Squadra]=Q$2),ROWS($N$5:N31)),"")</f>
        <v/>
      </c>
    </row>
    <row r="32" spans="4:17" x14ac:dyDescent="0.25">
      <c r="D32" s="32" t="str">
        <v>Jomi Salerno</v>
      </c>
      <c r="M32" s="25">
        <v>85</v>
      </c>
      <c r="N32" s="24" t="str" cm="1">
        <f t="array" ref="N32">IFERROR(INDEX(_xlfn._xlws.FILTER(Tabella1[Giocatori/Dirigenti],Tabella1[Squadra]=N$2),ROWS($N$5:N32)),"")</f>
        <v>Severin Alexandra Ramona</v>
      </c>
      <c r="Q32" s="3" t="str" cm="1">
        <f t="array" ref="Q32">IFERROR(INDEX(_xlfn._xlws.FILTER(Tabella1[Giocatori/Dirigenti],Tabella1[Squadra]=Q$2),ROWS($N$5:N32)),"")</f>
        <v/>
      </c>
    </row>
    <row r="33" spans="4:17" x14ac:dyDescent="0.25">
      <c r="D33" s="32" t="str">
        <v>Leno</v>
      </c>
      <c r="M33" s="25">
        <v>10</v>
      </c>
      <c r="N33" s="24" t="str" cm="1">
        <f t="array" ref="N33">IFERROR(INDEX(_xlfn._xlws.FILTER(Tabella1[Giocatori/Dirigenti],Tabella1[Squadra]=N$2),ROWS($N$5:N33)),"")</f>
        <v>Tarbuch Marianela Pilar</v>
      </c>
      <c r="Q33" s="3" t="str" cm="1">
        <f t="array" ref="Q33">IFERROR(INDEX(_xlfn._xlws.FILTER(Tabella1[Giocatori/Dirigenti],Tabella1[Squadra]=Q$2),ROWS($N$5:N33)),"")</f>
        <v/>
      </c>
    </row>
    <row r="34" spans="4:17" x14ac:dyDescent="0.25">
      <c r="D34" s="32" t="str">
        <v>Mezzocorona</v>
      </c>
      <c r="M34" s="25">
        <v>71</v>
      </c>
      <c r="N34" s="24" t="str" cm="1">
        <f t="array" ref="N34">IFERROR(INDEX(_xlfn._xlws.FILTER(Tabella1[Giocatori/Dirigenti],Tabella1[Squadra]=N$2),ROWS($N$5:N34)),"")</f>
        <v>Trayan Maryia</v>
      </c>
      <c r="Q34" s="3" t="str" cm="1">
        <f t="array" ref="Q34">IFERROR(INDEX(_xlfn._xlws.FILTER(Tabella1[Giocatori/Dirigenti],Tabella1[Squadra]=Q$2),ROWS($N$5:N34)),"")</f>
        <v/>
      </c>
    </row>
    <row r="35" spans="4:17" x14ac:dyDescent="0.25">
      <c r="D35" s="32" t="str">
        <v>Securfox Ariosto Ferrara</v>
      </c>
      <c r="M35" s="25">
        <v>18</v>
      </c>
      <c r="N35" s="24" t="str" cm="1">
        <f t="array" ref="N35">IFERROR(INDEX(_xlfn._xlws.FILTER(Tabella1[Giocatori/Dirigenti],Tabella1[Squadra]=N$2),ROWS($N$5:N35)),"")</f>
        <v>Zizzo Alessia</v>
      </c>
      <c r="Q35" s="3" t="str" cm="1">
        <f t="array" ref="Q35">IFERROR(INDEX(_xlfn._xlws.FILTER(Tabella1[Giocatori/Dirigenti],Tabella1[Squadra]=Q$2),ROWS($N$5:N35)),"")</f>
        <v/>
      </c>
    </row>
    <row r="36" spans="4:17" x14ac:dyDescent="0.25">
      <c r="D36" s="32" t="str">
        <v>Sirio Toyota Teramo</v>
      </c>
      <c r="N36" s="24" t="str" cm="1">
        <f t="array" ref="N36">IFERROR(INDEX(_xlfn._xlws.FILTER(Tabella1[Giocatori/Dirigenti],Tabella1[Squadra]=N$2),ROWS($N$5:N36)),"")</f>
        <v>Assana Dagui</v>
      </c>
      <c r="Q36" s="3" t="str" cm="1">
        <f t="array" ref="Q36">IFERROR(INDEX(_xlfn._xlws.FILTER(Tabella1[Giocatori/Dirigenti],Tabella1[Squadra]=Q$2),ROWS($N$5:N36)),"")</f>
        <v/>
      </c>
    </row>
    <row r="37" spans="4:17" x14ac:dyDescent="0.25">
      <c r="D37" s="32" t="str">
        <v>Trapani</v>
      </c>
      <c r="N37" s="24" t="str" cm="1">
        <f t="array" ref="N37">IFERROR(INDEX(_xlfn._xlws.FILTER(Tabella1[Giocatori/Dirigenti],Tabella1[Squadra]=N$2),ROWS($N$5:N37)),"")</f>
        <v>Bizzotto Valentina Martina</v>
      </c>
      <c r="Q37" s="3" t="str" cm="1">
        <f t="array" ref="Q37">IFERROR(INDEX(_xlfn._xlws.FILTER(Tabella1[Giocatori/Dirigenti],Tabella1[Squadra]=Q$2),ROWS($N$5:N37)),"")</f>
        <v/>
      </c>
    </row>
    <row r="38" spans="4:17" x14ac:dyDescent="0.25">
      <c r="D38" s="32"/>
      <c r="N38" s="24" t="str" cm="1">
        <f t="array" ref="N38">IFERROR(INDEX(_xlfn._xlws.FILTER(Tabella1[Giocatori/Dirigenti],Tabella1[Squadra]=N$2),ROWS($N$5:N38)),"")</f>
        <v/>
      </c>
      <c r="Q38" s="3" t="str" cm="1">
        <f t="array" ref="Q38">IFERROR(INDEX(_xlfn._xlws.FILTER(Tabella1[Giocatori/Dirigenti],Tabella1[Squadra]=Q$2),ROWS($N$5:N38)),"")</f>
        <v/>
      </c>
    </row>
    <row r="39" spans="4:17" x14ac:dyDescent="0.25">
      <c r="D39" s="32"/>
      <c r="M39" s="26"/>
      <c r="N39" s="24" t="str" cm="1">
        <f t="array" ref="N39">IFERROR(INDEX(_xlfn._xlws.FILTER(Tabella1[Giocatori/Dirigenti],Tabella1[Squadra]=N$2),ROWS($N$5:N39)),"")</f>
        <v/>
      </c>
      <c r="P39" s="26"/>
      <c r="Q39" s="3" t="str" cm="1">
        <f t="array" ref="Q39">IFERROR(INDEX(_xlfn._xlws.FILTER(Tabella1[Giocatori/Dirigenti],Tabella1[Squadra]=Q$2),ROWS($N$5:N39)),"")</f>
        <v/>
      </c>
    </row>
    <row r="40" spans="4:17" x14ac:dyDescent="0.25">
      <c r="D40" s="32"/>
      <c r="M40" s="26"/>
      <c r="N40" s="24" t="str" cm="1">
        <f t="array" ref="N40">IFERROR(INDEX(_xlfn._xlws.FILTER(Tabella1[Giocatori/Dirigenti],Tabella1[Squadra]=N$2),ROWS($N$5:N40)),"")</f>
        <v/>
      </c>
      <c r="P40" s="26"/>
      <c r="Q40" s="3" t="str" cm="1">
        <f t="array" ref="Q40">IFERROR(INDEX(_xlfn._xlws.FILTER(Tabella1[Giocatori/Dirigenti],Tabella1[Squadra]=Q$2),ROWS($N$5:N40)),"")</f>
        <v/>
      </c>
    </row>
    <row r="41" spans="4:17" x14ac:dyDescent="0.25">
      <c r="M41" s="26"/>
      <c r="N41" s="24" t="str" cm="1">
        <f t="array" ref="N41">IFERROR(INDEX(_xlfn._xlws.FILTER(Tabella1[Giocatori/Dirigenti],Tabella1[Squadra]=N$2),ROWS($N$5:N41)),"")</f>
        <v/>
      </c>
      <c r="P41" s="26"/>
      <c r="Q41" s="3" t="str" cm="1">
        <f t="array" ref="Q41">IFERROR(INDEX(_xlfn._xlws.FILTER(Tabella1[Giocatori/Dirigenti],Tabella1[Squadra]=Q$2),ROWS($N$5:N41)),"")</f>
        <v/>
      </c>
    </row>
    <row r="42" spans="4:17" x14ac:dyDescent="0.25">
      <c r="M42" s="26"/>
      <c r="N42" s="24" t="str" cm="1">
        <f t="array" ref="N42">IFERROR(INDEX(_xlfn._xlws.FILTER(Tabella1[Giocatori/Dirigenti],Tabella1[Squadra]=N$2),ROWS($N$5:N42)),"")</f>
        <v/>
      </c>
      <c r="P42" s="26"/>
      <c r="Q42" s="3" t="str" cm="1">
        <f t="array" ref="Q42">IFERROR(INDEX(_xlfn._xlws.FILTER(Tabella1[Giocatori/Dirigenti],Tabella1[Squadra]=Q$2),ROWS($N$5:N42)),"")</f>
        <v/>
      </c>
    </row>
    <row r="43" spans="4:17" x14ac:dyDescent="0.25">
      <c r="M43" s="26"/>
      <c r="N43" s="24" t="str" cm="1">
        <f t="array" ref="N43">IFERROR(INDEX(_xlfn._xlws.FILTER(Tabella1[Giocatori/Dirigenti],Tabella1[Squadra]=N$2),ROWS($N$5:N43)),"")</f>
        <v/>
      </c>
      <c r="P43" s="26"/>
      <c r="Q43" s="3" t="str" cm="1">
        <f t="array" ref="Q43">IFERROR(INDEX(_xlfn._xlws.FILTER(Tabella1[Giocatori/Dirigenti],Tabella1[Squadra]=Q$2),ROWS($N$5:N43)),"")</f>
        <v/>
      </c>
    </row>
    <row r="44" spans="4:17" x14ac:dyDescent="0.25">
      <c r="M44" s="26"/>
      <c r="N44" s="24" t="str" cm="1">
        <f t="array" ref="N44">IFERROR(INDEX(_xlfn._xlws.FILTER(Tabella1[Giocatori/Dirigenti],Tabella1[Squadra]=N$2),ROWS($N$5:N44)),"")</f>
        <v/>
      </c>
      <c r="P44" s="26"/>
      <c r="Q44" s="3" t="str" cm="1">
        <f t="array" ref="Q44">IFERROR(INDEX(_xlfn._xlws.FILTER(Tabella1[Giocatori/Dirigenti],Tabella1[Squadra]=Q$2),ROWS($N$5:N44)),"")</f>
        <v/>
      </c>
    </row>
    <row r="45" spans="4:17" x14ac:dyDescent="0.25">
      <c r="M45" s="26"/>
      <c r="N45" s="24" t="str" cm="1">
        <f t="array" ref="N45">IFERROR(INDEX(_xlfn._xlws.FILTER(Tabella1[Giocatori/Dirigenti],Tabella1[Squadra]=N$2),ROWS($N$5:N45)),"")</f>
        <v/>
      </c>
      <c r="P45" s="26"/>
      <c r="Q45" s="3" t="str" cm="1">
        <f t="array" ref="Q45">IFERROR(INDEX(_xlfn._xlws.FILTER(Tabella1[Giocatori/Dirigenti],Tabella1[Squadra]=Q$2),ROWS($N$5:N45)),"")</f>
        <v/>
      </c>
    </row>
    <row r="46" spans="4:17" x14ac:dyDescent="0.25">
      <c r="M46" s="26"/>
      <c r="N46" s="24" t="str" cm="1">
        <f t="array" ref="N46">IFERROR(INDEX(_xlfn._xlws.FILTER(Tabella1[Giocatori/Dirigenti],Tabella1[Squadra]=N$2),ROWS($N$5:N46)),"")</f>
        <v/>
      </c>
      <c r="P46" s="26"/>
      <c r="Q46" s="3" t="str" cm="1">
        <f t="array" ref="Q46">IFERROR(INDEX(_xlfn._xlws.FILTER(Tabella1[Giocatori/Dirigenti],Tabella1[Squadra]=Q$2),ROWS($N$5:N46)),"")</f>
        <v/>
      </c>
    </row>
    <row r="47" spans="4:17" x14ac:dyDescent="0.25">
      <c r="M47" s="26"/>
      <c r="N47" s="24" t="str" cm="1">
        <f t="array" ref="N47">IFERROR(INDEX(_xlfn._xlws.FILTER(Tabella1[Giocatori/Dirigenti],Tabella1[Squadra]=N$2),ROWS($N$5:N47)),"")</f>
        <v/>
      </c>
      <c r="P47" s="26"/>
      <c r="Q47" s="3" t="str" cm="1">
        <f t="array" ref="Q47">IFERROR(INDEX(_xlfn._xlws.FILTER(Tabella1[Giocatori/Dirigenti],Tabella1[Squadra]=Q$2),ROWS($N$5:N47)),"")</f>
        <v/>
      </c>
    </row>
    <row r="48" spans="4:17" x14ac:dyDescent="0.25">
      <c r="M48" s="26"/>
      <c r="N48" s="24" t="str" cm="1">
        <f t="array" ref="N48">IFERROR(INDEX(_xlfn._xlws.FILTER(Tabella1[Giocatori/Dirigenti],Tabella1[Squadra]=N$2),ROWS($N$5:N48)),"")</f>
        <v/>
      </c>
      <c r="P48" s="26"/>
      <c r="Q48" s="3" t="str" cm="1">
        <f t="array" ref="Q48">IFERROR(INDEX(_xlfn._xlws.FILTER(Tabella1[Giocatori/Dirigenti],Tabella1[Squadra]=Q$2),ROWS($N$5:N48)),"")</f>
        <v/>
      </c>
    </row>
  </sheetData>
  <mergeCells count="3">
    <mergeCell ref="A1:K1"/>
    <mergeCell ref="E3:K3"/>
    <mergeCell ref="A3:C3"/>
  </mergeCells>
  <dataValidations count="2">
    <dataValidation type="list" allowBlank="1" showInputMessage="1" showErrorMessage="1" sqref="C7" xr:uid="{60966D97-8FBF-4334-AA10-5D4F68BD4FCE}">
      <formula1>Campionati</formula1>
    </dataValidation>
    <dataValidation type="list" allowBlank="1" showInputMessage="1" showErrorMessage="1" sqref="Q2 N2" xr:uid="{C7521FFD-AF9B-4EF0-8AD8-3AF843CBE8BE}">
      <formula1>_xlfn.ANCHORARRAY($D$24)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Foglio1.SelezionaGiocatoriA">
                <anchor moveWithCells="1" sizeWithCells="1">
                  <from>
                    <xdr:col>11</xdr:col>
                    <xdr:colOff>104775</xdr:colOff>
                    <xdr:row>1</xdr:row>
                    <xdr:rowOff>0</xdr:rowOff>
                  </from>
                  <to>
                    <xdr:col>12</xdr:col>
                    <xdr:colOff>581025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glio1.SelezionaGiocatoriB">
                <anchor moveWithCells="1" sizeWithCells="1">
                  <from>
                    <xdr:col>14</xdr:col>
                    <xdr:colOff>104775</xdr:colOff>
                    <xdr:row>1</xdr:row>
                    <xdr:rowOff>0</xdr:rowOff>
                  </from>
                  <to>
                    <xdr:col>15</xdr:col>
                    <xdr:colOff>581025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4"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F9F97-0D17-4732-84B1-622E439C6D90}">
  <sheetPr codeName="Foglio2"/>
  <dimension ref="B2:V41"/>
  <sheetViews>
    <sheetView topLeftCell="E1" workbookViewId="0">
      <selection activeCell="S6" sqref="S6:S24"/>
    </sheetView>
  </sheetViews>
  <sheetFormatPr defaultRowHeight="15" x14ac:dyDescent="0.25"/>
  <cols>
    <col min="1" max="1" width="4.7109375" customWidth="1"/>
    <col min="2" max="2" width="22.42578125" customWidth="1"/>
    <col min="3" max="3" width="5.42578125" customWidth="1"/>
    <col min="4" max="4" width="3.7109375" customWidth="1"/>
    <col min="5" max="5" width="42.7109375" style="10" customWidth="1"/>
    <col min="6" max="6" width="4.7109375" customWidth="1"/>
    <col min="7" max="7" width="3.7109375" customWidth="1"/>
    <col min="8" max="8" width="42.7109375" customWidth="1"/>
    <col min="9" max="9" width="4.7109375" customWidth="1"/>
    <col min="10" max="10" width="3" bestFit="1" customWidth="1"/>
    <col min="11" max="11" width="42.7109375" customWidth="1"/>
    <col min="12" max="15" width="4.7109375" customWidth="1"/>
    <col min="19" max="19" width="40.28515625" bestFit="1" customWidth="1"/>
  </cols>
  <sheetData>
    <row r="2" spans="2:22" x14ac:dyDescent="0.25">
      <c r="F2" s="2"/>
      <c r="J2" s="2"/>
      <c r="K2" s="1"/>
      <c r="N2" s="2"/>
    </row>
    <row r="4" spans="2:22" ht="15.75" thickBot="1" x14ac:dyDescent="0.3"/>
    <row r="5" spans="2:22" ht="21.75" thickTop="1" x14ac:dyDescent="0.25">
      <c r="B5" s="19" t="s">
        <v>322</v>
      </c>
      <c r="D5" s="11"/>
      <c r="E5" s="12" t="s">
        <v>310</v>
      </c>
      <c r="G5" s="15"/>
      <c r="H5" s="16" t="s">
        <v>323</v>
      </c>
      <c r="J5" s="15"/>
      <c r="K5" s="16" t="s">
        <v>326</v>
      </c>
    </row>
    <row r="6" spans="2:22" x14ac:dyDescent="0.25">
      <c r="B6" s="34" t="s">
        <v>310</v>
      </c>
      <c r="D6" s="30">
        <v>1</v>
      </c>
      <c r="E6" s="14" t="s">
        <v>38</v>
      </c>
      <c r="G6" s="17">
        <v>1</v>
      </c>
      <c r="H6" s="28" t="s">
        <v>311</v>
      </c>
      <c r="J6" s="17">
        <v>1</v>
      </c>
      <c r="K6" s="28"/>
      <c r="P6">
        <v>2</v>
      </c>
      <c r="Q6" t="s">
        <v>355</v>
      </c>
      <c r="R6" t="s">
        <v>5</v>
      </c>
      <c r="S6" t="s">
        <v>356</v>
      </c>
      <c r="T6">
        <v>2007</v>
      </c>
      <c r="U6">
        <v>162</v>
      </c>
      <c r="V6">
        <v>50</v>
      </c>
    </row>
    <row r="7" spans="2:22" x14ac:dyDescent="0.25">
      <c r="B7" s="34" t="s">
        <v>323</v>
      </c>
      <c r="D7" s="30">
        <v>2</v>
      </c>
      <c r="E7" s="14" t="s">
        <v>39</v>
      </c>
      <c r="G7" s="17">
        <v>2</v>
      </c>
      <c r="H7" s="28" t="s">
        <v>312</v>
      </c>
      <c r="J7" s="17">
        <v>2</v>
      </c>
      <c r="K7" s="28"/>
      <c r="P7">
        <v>3</v>
      </c>
      <c r="Q7" t="s">
        <v>355</v>
      </c>
      <c r="R7" t="s">
        <v>357</v>
      </c>
      <c r="S7" t="s">
        <v>358</v>
      </c>
      <c r="T7">
        <v>1997</v>
      </c>
      <c r="U7">
        <v>165</v>
      </c>
      <c r="V7">
        <v>62</v>
      </c>
    </row>
    <row r="8" spans="2:22" x14ac:dyDescent="0.25">
      <c r="B8" s="34" t="s">
        <v>326</v>
      </c>
      <c r="D8" s="30">
        <v>3</v>
      </c>
      <c r="E8" s="14" t="s">
        <v>40</v>
      </c>
      <c r="G8" s="17">
        <v>3</v>
      </c>
      <c r="H8" s="28" t="s">
        <v>313</v>
      </c>
      <c r="J8" s="17">
        <v>3</v>
      </c>
      <c r="K8" s="28"/>
      <c r="P8">
        <v>4</v>
      </c>
      <c r="Q8" t="s">
        <v>355</v>
      </c>
      <c r="R8" t="s">
        <v>5</v>
      </c>
      <c r="S8" t="s">
        <v>359</v>
      </c>
      <c r="T8">
        <v>2005</v>
      </c>
      <c r="U8">
        <v>158</v>
      </c>
      <c r="V8">
        <v>54</v>
      </c>
    </row>
    <row r="9" spans="2:22" x14ac:dyDescent="0.25">
      <c r="B9" s="34"/>
      <c r="D9" s="30">
        <v>4</v>
      </c>
      <c r="E9" s="14" t="s">
        <v>41</v>
      </c>
      <c r="G9" s="17">
        <v>4</v>
      </c>
      <c r="H9" s="28" t="s">
        <v>314</v>
      </c>
      <c r="J9" s="17">
        <v>4</v>
      </c>
      <c r="K9" s="28"/>
      <c r="P9">
        <v>5</v>
      </c>
      <c r="Q9" t="s">
        <v>355</v>
      </c>
      <c r="R9" t="s">
        <v>5</v>
      </c>
      <c r="S9" t="s">
        <v>360</v>
      </c>
      <c r="T9">
        <v>2007</v>
      </c>
      <c r="U9">
        <v>168</v>
      </c>
      <c r="V9">
        <v>58</v>
      </c>
    </row>
    <row r="10" spans="2:22" x14ac:dyDescent="0.25">
      <c r="B10" s="34"/>
      <c r="D10" s="30">
        <v>5</v>
      </c>
      <c r="E10" s="14" t="s">
        <v>42</v>
      </c>
      <c r="G10" s="17">
        <v>5</v>
      </c>
      <c r="H10" s="28" t="s">
        <v>315</v>
      </c>
      <c r="J10" s="17">
        <v>5</v>
      </c>
      <c r="K10" s="28"/>
      <c r="P10">
        <v>8</v>
      </c>
      <c r="Q10" t="s">
        <v>355</v>
      </c>
      <c r="R10" t="s">
        <v>5</v>
      </c>
      <c r="S10" t="s">
        <v>361</v>
      </c>
      <c r="T10">
        <v>2010</v>
      </c>
      <c r="U10">
        <v>165</v>
      </c>
      <c r="V10">
        <v>53</v>
      </c>
    </row>
    <row r="11" spans="2:22" x14ac:dyDescent="0.25">
      <c r="B11" s="34"/>
      <c r="D11" s="30">
        <v>6</v>
      </c>
      <c r="E11" s="14" t="s">
        <v>43</v>
      </c>
      <c r="G11" s="17">
        <v>6</v>
      </c>
      <c r="H11" s="28" t="s">
        <v>316</v>
      </c>
      <c r="J11" s="17">
        <v>6</v>
      </c>
      <c r="K11" s="28"/>
      <c r="P11">
        <v>9</v>
      </c>
      <c r="Q11" t="s">
        <v>355</v>
      </c>
      <c r="R11" t="s">
        <v>330</v>
      </c>
      <c r="S11" t="s">
        <v>362</v>
      </c>
      <c r="T11">
        <v>2009</v>
      </c>
      <c r="U11">
        <v>162</v>
      </c>
      <c r="V11">
        <v>55</v>
      </c>
    </row>
    <row r="12" spans="2:22" x14ac:dyDescent="0.25">
      <c r="B12" s="34"/>
      <c r="D12" s="30">
        <v>7</v>
      </c>
      <c r="E12" s="14" t="s">
        <v>44</v>
      </c>
      <c r="G12" s="17">
        <v>7</v>
      </c>
      <c r="H12" s="28" t="s">
        <v>317</v>
      </c>
      <c r="J12" s="17">
        <v>7</v>
      </c>
      <c r="K12" s="28"/>
      <c r="P12">
        <v>10</v>
      </c>
      <c r="Q12" t="s">
        <v>355</v>
      </c>
      <c r="R12" t="s">
        <v>363</v>
      </c>
      <c r="S12" t="s">
        <v>364</v>
      </c>
      <c r="T12">
        <v>1997</v>
      </c>
      <c r="U12">
        <v>162</v>
      </c>
      <c r="V12">
        <v>60</v>
      </c>
    </row>
    <row r="13" spans="2:22" ht="15.75" thickBot="1" x14ac:dyDescent="0.3">
      <c r="B13" s="35"/>
      <c r="D13" s="30">
        <v>8</v>
      </c>
      <c r="E13" s="14" t="s">
        <v>45</v>
      </c>
      <c r="G13" s="17">
        <v>8</v>
      </c>
      <c r="H13" s="28" t="s">
        <v>318</v>
      </c>
      <c r="J13" s="17">
        <v>8</v>
      </c>
      <c r="K13" s="28"/>
      <c r="P13">
        <v>11</v>
      </c>
      <c r="Q13" t="s">
        <v>355</v>
      </c>
      <c r="R13" t="s">
        <v>357</v>
      </c>
      <c r="S13" t="s">
        <v>365</v>
      </c>
      <c r="T13">
        <v>2004</v>
      </c>
      <c r="U13">
        <v>173</v>
      </c>
      <c r="V13">
        <v>65</v>
      </c>
    </row>
    <row r="14" spans="2:22" ht="15.75" thickTop="1" x14ac:dyDescent="0.25">
      <c r="D14" s="30">
        <v>9</v>
      </c>
      <c r="E14" s="14" t="s">
        <v>46</v>
      </c>
      <c r="G14" s="17">
        <v>9</v>
      </c>
      <c r="H14" s="28" t="s">
        <v>319</v>
      </c>
      <c r="J14" s="17">
        <v>9</v>
      </c>
      <c r="K14" s="28"/>
      <c r="P14">
        <v>12</v>
      </c>
      <c r="Q14" t="s">
        <v>355</v>
      </c>
      <c r="R14" t="s">
        <v>366</v>
      </c>
      <c r="S14" t="s">
        <v>367</v>
      </c>
      <c r="T14">
        <v>2009</v>
      </c>
      <c r="U14">
        <v>168</v>
      </c>
      <c r="V14">
        <v>65</v>
      </c>
    </row>
    <row r="15" spans="2:22" x14ac:dyDescent="0.25">
      <c r="D15" s="30">
        <v>10</v>
      </c>
      <c r="E15" s="14" t="s">
        <v>47</v>
      </c>
      <c r="G15" s="17">
        <v>10</v>
      </c>
      <c r="H15" s="28" t="s">
        <v>320</v>
      </c>
      <c r="J15" s="17">
        <v>10</v>
      </c>
      <c r="K15" s="28"/>
      <c r="P15">
        <v>13</v>
      </c>
      <c r="Q15" t="s">
        <v>368</v>
      </c>
      <c r="R15" t="s">
        <v>5</v>
      </c>
      <c r="S15" t="s">
        <v>369</v>
      </c>
      <c r="T15">
        <v>2003</v>
      </c>
      <c r="U15">
        <v>160</v>
      </c>
      <c r="V15">
        <v>65</v>
      </c>
    </row>
    <row r="16" spans="2:22" x14ac:dyDescent="0.25">
      <c r="D16" s="30">
        <v>11</v>
      </c>
      <c r="E16" s="14" t="s">
        <v>48</v>
      </c>
      <c r="G16" s="17">
        <v>11</v>
      </c>
      <c r="H16" s="28" t="s">
        <v>321</v>
      </c>
      <c r="J16" s="17">
        <v>11</v>
      </c>
      <c r="K16" s="28"/>
      <c r="P16">
        <v>14</v>
      </c>
      <c r="Q16" t="s">
        <v>370</v>
      </c>
      <c r="R16" t="s">
        <v>5</v>
      </c>
      <c r="S16" t="s">
        <v>371</v>
      </c>
      <c r="T16">
        <v>1997</v>
      </c>
      <c r="U16">
        <v>168</v>
      </c>
      <c r="V16">
        <v>65</v>
      </c>
    </row>
    <row r="17" spans="2:22" ht="15.75" thickBot="1" x14ac:dyDescent="0.3">
      <c r="D17" s="30">
        <v>12</v>
      </c>
      <c r="E17" s="14" t="s">
        <v>49</v>
      </c>
      <c r="G17" s="18">
        <v>12</v>
      </c>
      <c r="H17" s="29"/>
      <c r="J17" s="18">
        <v>12</v>
      </c>
      <c r="K17" s="29"/>
      <c r="P17">
        <v>16</v>
      </c>
      <c r="Q17" t="s">
        <v>355</v>
      </c>
      <c r="R17" t="s">
        <v>357</v>
      </c>
      <c r="S17" t="s">
        <v>372</v>
      </c>
      <c r="T17">
        <v>1993</v>
      </c>
      <c r="U17">
        <v>168</v>
      </c>
      <c r="V17">
        <v>62</v>
      </c>
    </row>
    <row r="18" spans="2:22" x14ac:dyDescent="0.25">
      <c r="B18" s="36"/>
      <c r="D18" s="30">
        <v>13</v>
      </c>
      <c r="E18" s="14" t="s">
        <v>50</v>
      </c>
      <c r="P18">
        <v>17</v>
      </c>
      <c r="Q18" t="s">
        <v>355</v>
      </c>
      <c r="R18" t="s">
        <v>363</v>
      </c>
      <c r="S18" t="s">
        <v>373</v>
      </c>
      <c r="T18">
        <v>2007</v>
      </c>
      <c r="U18">
        <v>168</v>
      </c>
      <c r="V18">
        <v>65</v>
      </c>
    </row>
    <row r="19" spans="2:22" ht="15.75" thickBot="1" x14ac:dyDescent="0.3">
      <c r="D19" s="31">
        <v>14</v>
      </c>
      <c r="E19" s="13" t="s">
        <v>51</v>
      </c>
      <c r="P19">
        <v>18</v>
      </c>
      <c r="Q19" t="s">
        <v>355</v>
      </c>
      <c r="R19" t="s">
        <v>357</v>
      </c>
      <c r="S19" t="s">
        <v>374</v>
      </c>
      <c r="T19">
        <v>2008</v>
      </c>
      <c r="U19">
        <v>175</v>
      </c>
      <c r="V19">
        <v>65</v>
      </c>
    </row>
    <row r="20" spans="2:22" ht="15.75" thickTop="1" x14ac:dyDescent="0.25">
      <c r="P20">
        <v>21</v>
      </c>
      <c r="Q20" t="s">
        <v>355</v>
      </c>
      <c r="R20" t="s">
        <v>5</v>
      </c>
      <c r="S20" t="s">
        <v>375</v>
      </c>
      <c r="T20">
        <v>2010</v>
      </c>
      <c r="U20">
        <v>165</v>
      </c>
      <c r="V20">
        <v>60</v>
      </c>
    </row>
    <row r="21" spans="2:22" x14ac:dyDescent="0.25">
      <c r="P21">
        <v>23</v>
      </c>
      <c r="Q21" t="s">
        <v>355</v>
      </c>
      <c r="R21" t="s">
        <v>330</v>
      </c>
      <c r="S21" t="s">
        <v>376</v>
      </c>
      <c r="T21">
        <v>2010</v>
      </c>
      <c r="U21">
        <v>165</v>
      </c>
      <c r="V21">
        <v>50</v>
      </c>
    </row>
    <row r="22" spans="2:22" x14ac:dyDescent="0.25">
      <c r="P22">
        <v>33</v>
      </c>
      <c r="Q22" t="s">
        <v>355</v>
      </c>
      <c r="R22" t="s">
        <v>330</v>
      </c>
      <c r="S22" t="s">
        <v>377</v>
      </c>
      <c r="T22">
        <v>2010</v>
      </c>
      <c r="U22">
        <v>155</v>
      </c>
      <c r="V22">
        <v>45</v>
      </c>
    </row>
    <row r="23" spans="2:22" x14ac:dyDescent="0.25">
      <c r="P23">
        <v>91</v>
      </c>
      <c r="Q23" t="s">
        <v>355</v>
      </c>
      <c r="R23" t="s">
        <v>363</v>
      </c>
      <c r="S23" t="s">
        <v>378</v>
      </c>
      <c r="T23">
        <v>2008</v>
      </c>
      <c r="U23">
        <v>178</v>
      </c>
      <c r="V23">
        <v>82</v>
      </c>
    </row>
    <row r="24" spans="2:22" x14ac:dyDescent="0.25">
      <c r="P24">
        <v>99</v>
      </c>
      <c r="Q24" t="s">
        <v>355</v>
      </c>
      <c r="R24" t="s">
        <v>366</v>
      </c>
      <c r="S24" t="s">
        <v>379</v>
      </c>
      <c r="T24">
        <v>1992</v>
      </c>
      <c r="U24">
        <v>162</v>
      </c>
      <c r="V24">
        <v>65</v>
      </c>
    </row>
    <row r="27" spans="2:22" x14ac:dyDescent="0.25">
      <c r="E27"/>
    </row>
    <row r="28" spans="2:22" x14ac:dyDescent="0.25">
      <c r="E28"/>
    </row>
    <row r="29" spans="2:22" x14ac:dyDescent="0.25">
      <c r="E29"/>
    </row>
    <row r="30" spans="2:22" x14ac:dyDescent="0.25">
      <c r="E30"/>
    </row>
    <row r="31" spans="2:22" x14ac:dyDescent="0.25">
      <c r="E31"/>
    </row>
    <row r="32" spans="2:22" x14ac:dyDescent="0.25">
      <c r="E32"/>
    </row>
    <row r="33" spans="5:5" x14ac:dyDescent="0.25">
      <c r="E33"/>
    </row>
    <row r="34" spans="5:5" x14ac:dyDescent="0.25">
      <c r="E34"/>
    </row>
    <row r="35" spans="5:5" x14ac:dyDescent="0.25">
      <c r="E35"/>
    </row>
    <row r="36" spans="5:5" x14ac:dyDescent="0.25">
      <c r="E36"/>
    </row>
    <row r="37" spans="5:5" x14ac:dyDescent="0.25">
      <c r="E37"/>
    </row>
    <row r="38" spans="5:5" x14ac:dyDescent="0.25">
      <c r="E38"/>
    </row>
    <row r="39" spans="5:5" x14ac:dyDescent="0.25">
      <c r="E39"/>
    </row>
    <row r="40" spans="5:5" x14ac:dyDescent="0.25">
      <c r="E40"/>
    </row>
    <row r="41" spans="5:5" x14ac:dyDescent="0.25">
      <c r="E4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94C5-6316-4025-A6DC-2FA4C9B1BE17}">
  <sheetPr codeName="Foglio3"/>
  <dimension ref="C2:J307"/>
  <sheetViews>
    <sheetView topLeftCell="A213" workbookViewId="0">
      <selection activeCell="C219" sqref="C219"/>
    </sheetView>
  </sheetViews>
  <sheetFormatPr defaultRowHeight="15" x14ac:dyDescent="0.25"/>
  <cols>
    <col min="2" max="2" width="16.28515625" bestFit="1" customWidth="1"/>
    <col min="3" max="3" width="25.7109375" style="23" customWidth="1"/>
    <col min="4" max="4" width="40.7109375" customWidth="1"/>
    <col min="6" max="6" width="25.7109375" style="23" customWidth="1"/>
    <col min="7" max="7" width="40.7109375" customWidth="1"/>
    <col min="9" max="9" width="25.7109375" style="23" customWidth="1"/>
    <col min="10" max="10" width="40.7109375" customWidth="1"/>
  </cols>
  <sheetData>
    <row r="2" spans="3:10" ht="21" x14ac:dyDescent="0.25">
      <c r="C2" s="49" t="s">
        <v>310</v>
      </c>
      <c r="D2" s="49"/>
      <c r="F2" s="49" t="s">
        <v>323</v>
      </c>
      <c r="G2" s="49"/>
      <c r="I2" s="49" t="s">
        <v>326</v>
      </c>
      <c r="J2" s="49"/>
    </row>
    <row r="3" spans="3:10" s="21" customFormat="1" ht="21" x14ac:dyDescent="0.25">
      <c r="C3" s="21" t="s">
        <v>324</v>
      </c>
      <c r="D3" s="21" t="s">
        <v>325</v>
      </c>
      <c r="F3" s="21" t="s">
        <v>324</v>
      </c>
      <c r="G3" s="21" t="s">
        <v>325</v>
      </c>
      <c r="I3" s="21" t="s">
        <v>324</v>
      </c>
      <c r="J3" s="21" t="s">
        <v>325</v>
      </c>
    </row>
    <row r="4" spans="3:10" x14ac:dyDescent="0.25">
      <c r="C4" s="22" t="s">
        <v>38</v>
      </c>
      <c r="D4" s="20" t="s">
        <v>74</v>
      </c>
      <c r="F4" s="22"/>
      <c r="G4" s="20"/>
      <c r="I4" s="22"/>
      <c r="J4" s="37"/>
    </row>
    <row r="5" spans="3:10" x14ac:dyDescent="0.25">
      <c r="C5" s="22" t="s">
        <v>38</v>
      </c>
      <c r="D5" s="20" t="s">
        <v>8</v>
      </c>
      <c r="F5" s="22"/>
      <c r="G5" s="20"/>
      <c r="I5" s="22"/>
      <c r="J5" s="20"/>
    </row>
    <row r="6" spans="3:10" x14ac:dyDescent="0.25">
      <c r="C6" s="22" t="s">
        <v>38</v>
      </c>
      <c r="D6" s="20" t="s">
        <v>52</v>
      </c>
      <c r="F6" s="22"/>
      <c r="G6" s="20"/>
      <c r="I6" s="22"/>
      <c r="J6" s="20"/>
    </row>
    <row r="7" spans="3:10" x14ac:dyDescent="0.25">
      <c r="C7" s="22" t="s">
        <v>38</v>
      </c>
      <c r="D7" s="20" t="s">
        <v>76</v>
      </c>
      <c r="F7" s="22"/>
      <c r="G7" s="20"/>
      <c r="I7" s="22"/>
      <c r="J7" s="20"/>
    </row>
    <row r="8" spans="3:10" x14ac:dyDescent="0.25">
      <c r="C8" s="22" t="s">
        <v>38</v>
      </c>
      <c r="D8" s="20" t="s">
        <v>53</v>
      </c>
      <c r="F8" s="22"/>
      <c r="G8" s="20"/>
      <c r="I8" s="22"/>
      <c r="J8" s="20"/>
    </row>
    <row r="9" spans="3:10" x14ac:dyDescent="0.25">
      <c r="C9" s="22" t="s">
        <v>38</v>
      </c>
      <c r="D9" s="20" t="s">
        <v>3</v>
      </c>
      <c r="F9" s="22"/>
      <c r="G9" s="20"/>
      <c r="I9" s="22"/>
      <c r="J9" s="20"/>
    </row>
    <row r="10" spans="3:10" x14ac:dyDescent="0.25">
      <c r="C10" s="22" t="s">
        <v>38</v>
      </c>
      <c r="D10" s="20" t="s">
        <v>54</v>
      </c>
      <c r="F10" s="22"/>
      <c r="G10" s="20"/>
      <c r="I10" s="22"/>
      <c r="J10" s="20"/>
    </row>
    <row r="11" spans="3:10" x14ac:dyDescent="0.25">
      <c r="C11" s="22" t="s">
        <v>38</v>
      </c>
      <c r="D11" s="20" t="s">
        <v>55</v>
      </c>
      <c r="F11" s="22"/>
      <c r="G11" s="20"/>
      <c r="I11" s="22"/>
      <c r="J11" s="20"/>
    </row>
    <row r="12" spans="3:10" x14ac:dyDescent="0.25">
      <c r="C12" s="22" t="s">
        <v>38</v>
      </c>
      <c r="D12" s="20" t="s">
        <v>56</v>
      </c>
      <c r="F12" s="22"/>
      <c r="G12" s="20"/>
      <c r="I12" s="22"/>
      <c r="J12" s="20"/>
    </row>
    <row r="13" spans="3:10" x14ac:dyDescent="0.25">
      <c r="C13" s="22" t="s">
        <v>38</v>
      </c>
      <c r="D13" s="20" t="s">
        <v>57</v>
      </c>
      <c r="F13" s="22"/>
      <c r="G13" s="20"/>
      <c r="I13" s="22"/>
      <c r="J13" s="20"/>
    </row>
    <row r="14" spans="3:10" x14ac:dyDescent="0.25">
      <c r="C14" s="22" t="s">
        <v>38</v>
      </c>
      <c r="D14" s="20" t="s">
        <v>58</v>
      </c>
      <c r="F14" s="22"/>
      <c r="G14" s="20"/>
      <c r="I14" s="22"/>
      <c r="J14" s="20"/>
    </row>
    <row r="15" spans="3:10" x14ac:dyDescent="0.25">
      <c r="C15" s="22" t="s">
        <v>38</v>
      </c>
      <c r="D15" s="20" t="s">
        <v>59</v>
      </c>
      <c r="F15" s="22"/>
      <c r="G15" s="20"/>
      <c r="I15" s="22"/>
      <c r="J15" s="20"/>
    </row>
    <row r="16" spans="3:10" x14ac:dyDescent="0.25">
      <c r="C16" s="22" t="s">
        <v>38</v>
      </c>
      <c r="D16" s="20" t="s">
        <v>6</v>
      </c>
      <c r="F16" s="22"/>
      <c r="G16" s="20"/>
      <c r="I16" s="22"/>
      <c r="J16" s="20"/>
    </row>
    <row r="17" spans="3:10" x14ac:dyDescent="0.25">
      <c r="C17" s="22" t="s">
        <v>38</v>
      </c>
      <c r="D17" s="20" t="s">
        <v>60</v>
      </c>
      <c r="F17" s="22"/>
      <c r="G17" s="20"/>
      <c r="I17" s="22"/>
      <c r="J17" s="20"/>
    </row>
    <row r="18" spans="3:10" x14ac:dyDescent="0.25">
      <c r="C18" s="22" t="s">
        <v>38</v>
      </c>
      <c r="D18" s="20" t="s">
        <v>61</v>
      </c>
      <c r="F18" s="22"/>
      <c r="G18" s="20"/>
      <c r="I18" s="22"/>
      <c r="J18" s="20"/>
    </row>
    <row r="19" spans="3:10" x14ac:dyDescent="0.25">
      <c r="C19" s="22" t="s">
        <v>38</v>
      </c>
      <c r="D19" s="20" t="s">
        <v>73</v>
      </c>
      <c r="F19" s="22"/>
      <c r="G19" s="20"/>
      <c r="I19" s="22"/>
      <c r="J19" s="20"/>
    </row>
    <row r="20" spans="3:10" x14ac:dyDescent="0.25">
      <c r="C20" s="22" t="s">
        <v>38</v>
      </c>
      <c r="D20" s="20" t="s">
        <v>62</v>
      </c>
      <c r="F20" s="22"/>
      <c r="G20" s="20"/>
      <c r="I20" s="22"/>
      <c r="J20" s="20"/>
    </row>
    <row r="21" spans="3:10" x14ac:dyDescent="0.25">
      <c r="C21" s="22" t="s">
        <v>38</v>
      </c>
      <c r="D21" s="20" t="s">
        <v>63</v>
      </c>
      <c r="F21" s="22"/>
      <c r="G21" s="20"/>
      <c r="I21" s="22"/>
      <c r="J21" s="20"/>
    </row>
    <row r="22" spans="3:10" x14ac:dyDescent="0.25">
      <c r="C22" s="22" t="s">
        <v>38</v>
      </c>
      <c r="D22" s="20" t="s">
        <v>64</v>
      </c>
      <c r="F22" s="22"/>
      <c r="G22" s="20"/>
      <c r="I22" s="22"/>
      <c r="J22" s="20"/>
    </row>
    <row r="23" spans="3:10" x14ac:dyDescent="0.25">
      <c r="C23" s="22" t="s">
        <v>38</v>
      </c>
      <c r="D23" s="20" t="s">
        <v>7</v>
      </c>
      <c r="F23" s="22"/>
      <c r="G23" s="20"/>
      <c r="I23" s="22"/>
      <c r="J23" s="20"/>
    </row>
    <row r="24" spans="3:10" x14ac:dyDescent="0.25">
      <c r="C24" s="22" t="s">
        <v>38</v>
      </c>
      <c r="D24" s="20" t="s">
        <v>2</v>
      </c>
      <c r="F24" s="22"/>
      <c r="G24" s="20"/>
      <c r="I24" s="22"/>
      <c r="J24" s="20"/>
    </row>
    <row r="25" spans="3:10" x14ac:dyDescent="0.25">
      <c r="C25" s="22" t="s">
        <v>38</v>
      </c>
      <c r="D25" s="20" t="s">
        <v>75</v>
      </c>
      <c r="F25" s="22"/>
      <c r="G25" s="20"/>
      <c r="I25" s="22"/>
      <c r="J25" s="20"/>
    </row>
    <row r="26" spans="3:10" x14ac:dyDescent="0.25">
      <c r="C26" s="22" t="s">
        <v>38</v>
      </c>
      <c r="D26" s="20" t="s">
        <v>65</v>
      </c>
      <c r="F26" s="22"/>
      <c r="G26" s="20"/>
      <c r="I26" s="22"/>
      <c r="J26" s="20"/>
    </row>
    <row r="27" spans="3:10" x14ac:dyDescent="0.25">
      <c r="C27" s="22" t="s">
        <v>38</v>
      </c>
      <c r="D27" s="20" t="s">
        <v>4</v>
      </c>
      <c r="F27" s="22"/>
      <c r="G27" s="20"/>
      <c r="I27" s="22"/>
      <c r="J27" s="20"/>
    </row>
    <row r="28" spans="3:10" x14ac:dyDescent="0.25">
      <c r="C28" s="22" t="s">
        <v>38</v>
      </c>
      <c r="D28" s="20" t="s">
        <v>66</v>
      </c>
      <c r="F28" s="22"/>
      <c r="G28" s="20"/>
      <c r="I28" s="22"/>
      <c r="J28" s="20"/>
    </row>
    <row r="29" spans="3:10" x14ac:dyDescent="0.25">
      <c r="C29" s="22" t="s">
        <v>38</v>
      </c>
      <c r="D29" s="20" t="s">
        <v>67</v>
      </c>
      <c r="F29" s="22"/>
      <c r="G29" s="20"/>
      <c r="I29" s="22"/>
      <c r="J29" s="20"/>
    </row>
    <row r="30" spans="3:10" x14ac:dyDescent="0.25">
      <c r="C30" s="22" t="s">
        <v>38</v>
      </c>
      <c r="D30" s="20" t="s">
        <v>68</v>
      </c>
      <c r="F30" s="22"/>
      <c r="G30" s="20"/>
      <c r="I30" s="22"/>
      <c r="J30" s="20"/>
    </row>
    <row r="31" spans="3:10" x14ac:dyDescent="0.25">
      <c r="C31" s="22" t="s">
        <v>38</v>
      </c>
      <c r="D31" s="20" t="s">
        <v>69</v>
      </c>
      <c r="F31" s="22"/>
      <c r="G31" s="20"/>
      <c r="I31" s="22"/>
      <c r="J31" s="20"/>
    </row>
    <row r="32" spans="3:10" x14ac:dyDescent="0.25">
      <c r="C32" s="22" t="s">
        <v>38</v>
      </c>
      <c r="D32" s="20" t="s">
        <v>70</v>
      </c>
      <c r="F32" s="22"/>
      <c r="G32" s="20"/>
      <c r="I32" s="22"/>
      <c r="J32" s="20"/>
    </row>
    <row r="33" spans="3:10" x14ac:dyDescent="0.25">
      <c r="C33" s="22" t="s">
        <v>38</v>
      </c>
      <c r="D33" s="20" t="s">
        <v>71</v>
      </c>
      <c r="F33" s="22"/>
      <c r="G33" s="20"/>
      <c r="I33" s="22"/>
      <c r="J33" s="20"/>
    </row>
    <row r="34" spans="3:10" x14ac:dyDescent="0.25">
      <c r="C34" s="22" t="s">
        <v>38</v>
      </c>
      <c r="D34" s="20" t="s">
        <v>72</v>
      </c>
      <c r="F34" s="22"/>
      <c r="G34" s="20"/>
      <c r="I34" s="22"/>
      <c r="J34" s="20"/>
    </row>
    <row r="35" spans="3:10" x14ac:dyDescent="0.25">
      <c r="C35" s="22" t="s">
        <v>38</v>
      </c>
      <c r="D35" s="20" t="s">
        <v>333</v>
      </c>
      <c r="F35" s="22"/>
      <c r="G35" s="20"/>
      <c r="I35" s="22"/>
      <c r="J35" s="20"/>
    </row>
    <row r="36" spans="3:10" x14ac:dyDescent="0.25">
      <c r="C36" s="22" t="s">
        <v>38</v>
      </c>
      <c r="D36" s="20" t="s">
        <v>334</v>
      </c>
      <c r="F36" s="22"/>
      <c r="G36" s="20"/>
      <c r="I36" s="22"/>
      <c r="J36" s="20"/>
    </row>
    <row r="37" spans="3:10" x14ac:dyDescent="0.25">
      <c r="C37" s="22" t="s">
        <v>39</v>
      </c>
      <c r="D37" s="20" t="s">
        <v>77</v>
      </c>
      <c r="F37" s="22"/>
      <c r="G37" s="20"/>
      <c r="I37" s="22"/>
      <c r="J37" s="20"/>
    </row>
    <row r="38" spans="3:10" x14ac:dyDescent="0.25">
      <c r="C38" s="22" t="s">
        <v>39</v>
      </c>
      <c r="D38" s="20" t="s">
        <v>78</v>
      </c>
      <c r="F38" s="22"/>
      <c r="G38" s="20"/>
      <c r="I38" s="22"/>
      <c r="J38" s="20"/>
    </row>
    <row r="39" spans="3:10" x14ac:dyDescent="0.25">
      <c r="C39" s="22" t="s">
        <v>39</v>
      </c>
      <c r="D39" s="20" t="s">
        <v>79</v>
      </c>
      <c r="F39" s="22"/>
      <c r="G39" s="20"/>
      <c r="I39" s="22"/>
      <c r="J39" s="20"/>
    </row>
    <row r="40" spans="3:10" x14ac:dyDescent="0.25">
      <c r="C40" s="22" t="s">
        <v>39</v>
      </c>
      <c r="D40" s="20" t="s">
        <v>80</v>
      </c>
      <c r="F40" s="22"/>
      <c r="G40" s="20"/>
      <c r="I40" s="22"/>
      <c r="J40" s="20"/>
    </row>
    <row r="41" spans="3:10" x14ac:dyDescent="0.25">
      <c r="C41" s="22" t="s">
        <v>39</v>
      </c>
      <c r="D41" s="20" t="s">
        <v>81</v>
      </c>
      <c r="F41" s="22"/>
      <c r="G41" s="20"/>
      <c r="I41" s="22"/>
      <c r="J41" s="20"/>
    </row>
    <row r="42" spans="3:10" x14ac:dyDescent="0.25">
      <c r="C42" s="22" t="s">
        <v>39</v>
      </c>
      <c r="D42" s="20" t="s">
        <v>82</v>
      </c>
      <c r="F42" s="22"/>
      <c r="G42" s="20"/>
      <c r="I42" s="22"/>
      <c r="J42" s="20"/>
    </row>
    <row r="43" spans="3:10" x14ac:dyDescent="0.25">
      <c r="C43" s="22" t="s">
        <v>39</v>
      </c>
      <c r="D43" s="20" t="s">
        <v>83</v>
      </c>
      <c r="F43" s="22"/>
      <c r="G43" s="20"/>
      <c r="I43" s="22"/>
      <c r="J43" s="20"/>
    </row>
    <row r="44" spans="3:10" x14ac:dyDescent="0.25">
      <c r="C44" s="22" t="s">
        <v>39</v>
      </c>
      <c r="D44" s="20" t="s">
        <v>84</v>
      </c>
      <c r="F44" s="22"/>
      <c r="G44" s="20"/>
      <c r="I44" s="22"/>
      <c r="J44" s="20"/>
    </row>
    <row r="45" spans="3:10" x14ac:dyDescent="0.25">
      <c r="C45" s="22" t="s">
        <v>39</v>
      </c>
      <c r="D45" s="20" t="s">
        <v>85</v>
      </c>
      <c r="F45" s="22"/>
      <c r="G45" s="20"/>
      <c r="I45" s="22"/>
      <c r="J45" s="20"/>
    </row>
    <row r="46" spans="3:10" x14ac:dyDescent="0.25">
      <c r="C46" s="22" t="s">
        <v>39</v>
      </c>
      <c r="D46" s="20" t="s">
        <v>86</v>
      </c>
      <c r="F46" s="22"/>
      <c r="G46" s="20"/>
      <c r="I46" s="22"/>
      <c r="J46" s="20"/>
    </row>
    <row r="47" spans="3:10" x14ac:dyDescent="0.25">
      <c r="C47" s="22" t="s">
        <v>39</v>
      </c>
      <c r="D47" s="20" t="s">
        <v>87</v>
      </c>
      <c r="F47" s="22"/>
      <c r="G47" s="20"/>
      <c r="I47" s="22"/>
      <c r="J47" s="20"/>
    </row>
    <row r="48" spans="3:10" x14ac:dyDescent="0.25">
      <c r="C48" s="22" t="s">
        <v>39</v>
      </c>
      <c r="D48" s="20" t="s">
        <v>88</v>
      </c>
      <c r="F48" s="22"/>
      <c r="G48" s="20"/>
      <c r="I48" s="22"/>
      <c r="J48" s="20"/>
    </row>
    <row r="49" spans="3:10" x14ac:dyDescent="0.25">
      <c r="C49" s="22" t="s">
        <v>39</v>
      </c>
      <c r="D49" s="20" t="s">
        <v>89</v>
      </c>
      <c r="F49" s="22"/>
      <c r="G49" s="20"/>
      <c r="I49" s="22"/>
      <c r="J49" s="20"/>
    </row>
    <row r="50" spans="3:10" x14ac:dyDescent="0.25">
      <c r="C50" s="22" t="s">
        <v>39</v>
      </c>
      <c r="D50" s="20" t="s">
        <v>98</v>
      </c>
      <c r="F50" s="22"/>
      <c r="G50" s="20"/>
      <c r="I50" s="22"/>
      <c r="J50" s="20"/>
    </row>
    <row r="51" spans="3:10" x14ac:dyDescent="0.25">
      <c r="C51" s="22" t="s">
        <v>39</v>
      </c>
      <c r="D51" s="20" t="s">
        <v>90</v>
      </c>
      <c r="F51" s="22"/>
      <c r="G51" s="20"/>
      <c r="I51" s="22"/>
      <c r="J51" s="20"/>
    </row>
    <row r="52" spans="3:10" x14ac:dyDescent="0.25">
      <c r="C52" s="22" t="s">
        <v>39</v>
      </c>
      <c r="D52" s="20" t="s">
        <v>91</v>
      </c>
      <c r="F52" s="22"/>
      <c r="G52" s="20"/>
      <c r="I52" s="22"/>
      <c r="J52" s="20"/>
    </row>
    <row r="53" spans="3:10" x14ac:dyDescent="0.25">
      <c r="C53" s="22" t="s">
        <v>39</v>
      </c>
      <c r="D53" s="20" t="s">
        <v>92</v>
      </c>
      <c r="F53" s="22"/>
      <c r="G53" s="20"/>
      <c r="I53" s="22"/>
      <c r="J53" s="20"/>
    </row>
    <row r="54" spans="3:10" x14ac:dyDescent="0.25">
      <c r="C54" s="22" t="s">
        <v>39</v>
      </c>
      <c r="D54" s="20" t="s">
        <v>93</v>
      </c>
      <c r="F54" s="22"/>
      <c r="G54" s="20"/>
      <c r="I54" s="22"/>
      <c r="J54" s="20"/>
    </row>
    <row r="55" spans="3:10" x14ac:dyDescent="0.25">
      <c r="C55" s="22" t="s">
        <v>39</v>
      </c>
      <c r="D55" s="20" t="s">
        <v>94</v>
      </c>
      <c r="F55" s="22"/>
      <c r="G55" s="20"/>
      <c r="I55" s="22"/>
      <c r="J55" s="20"/>
    </row>
    <row r="56" spans="3:10" x14ac:dyDescent="0.25">
      <c r="C56" s="22" t="s">
        <v>39</v>
      </c>
      <c r="D56" s="20" t="s">
        <v>95</v>
      </c>
      <c r="F56" s="22"/>
      <c r="G56" s="20"/>
      <c r="I56" s="22"/>
      <c r="J56" s="20"/>
    </row>
    <row r="57" spans="3:10" x14ac:dyDescent="0.25">
      <c r="C57" s="22" t="s">
        <v>39</v>
      </c>
      <c r="D57" s="20" t="s">
        <v>96</v>
      </c>
      <c r="F57" s="22"/>
      <c r="G57" s="20"/>
      <c r="I57" s="22"/>
      <c r="J57" s="20"/>
    </row>
    <row r="58" spans="3:10" x14ac:dyDescent="0.25">
      <c r="C58" s="22" t="s">
        <v>39</v>
      </c>
      <c r="D58" s="20" t="s">
        <v>97</v>
      </c>
      <c r="F58" s="22"/>
      <c r="G58" s="20"/>
      <c r="I58" s="22"/>
      <c r="J58" s="20"/>
    </row>
    <row r="59" spans="3:10" x14ac:dyDescent="0.25">
      <c r="C59" s="22" t="s">
        <v>275</v>
      </c>
      <c r="D59" s="20" t="s">
        <v>281</v>
      </c>
      <c r="F59" s="22"/>
      <c r="G59" s="20"/>
      <c r="I59" s="22"/>
      <c r="J59" s="20"/>
    </row>
    <row r="60" spans="3:10" x14ac:dyDescent="0.25">
      <c r="C60" s="22" t="s">
        <v>275</v>
      </c>
      <c r="D60" s="20" t="s">
        <v>282</v>
      </c>
      <c r="F60" s="22"/>
      <c r="G60" s="20"/>
      <c r="I60" s="22"/>
      <c r="J60" s="20"/>
    </row>
    <row r="61" spans="3:10" x14ac:dyDescent="0.25">
      <c r="C61" s="22" t="s">
        <v>275</v>
      </c>
      <c r="D61" s="20" t="s">
        <v>277</v>
      </c>
      <c r="F61" s="22"/>
      <c r="G61" s="20"/>
      <c r="I61" s="22"/>
      <c r="J61" s="20"/>
    </row>
    <row r="62" spans="3:10" x14ac:dyDescent="0.25">
      <c r="C62" s="22" t="s">
        <v>275</v>
      </c>
      <c r="D62" s="20" t="s">
        <v>283</v>
      </c>
      <c r="F62" s="22"/>
      <c r="G62" s="20"/>
      <c r="I62" s="22"/>
      <c r="J62" s="20"/>
    </row>
    <row r="63" spans="3:10" x14ac:dyDescent="0.25">
      <c r="C63" s="22" t="s">
        <v>275</v>
      </c>
      <c r="D63" s="20" t="s">
        <v>284</v>
      </c>
      <c r="F63" s="22"/>
      <c r="G63" s="20"/>
      <c r="I63" s="22"/>
      <c r="J63" s="20"/>
    </row>
    <row r="64" spans="3:10" x14ac:dyDescent="0.25">
      <c r="C64" s="22" t="s">
        <v>275</v>
      </c>
      <c r="D64" s="20" t="s">
        <v>278</v>
      </c>
      <c r="F64" s="22"/>
      <c r="G64" s="20"/>
      <c r="I64" s="22"/>
      <c r="J64" s="20"/>
    </row>
    <row r="65" spans="3:10" x14ac:dyDescent="0.25">
      <c r="C65" s="22" t="s">
        <v>275</v>
      </c>
      <c r="D65" s="20" t="s">
        <v>285</v>
      </c>
      <c r="F65" s="22"/>
      <c r="G65" s="20"/>
      <c r="I65" s="22"/>
      <c r="J65" s="20"/>
    </row>
    <row r="66" spans="3:10" x14ac:dyDescent="0.25">
      <c r="C66" s="22" t="s">
        <v>275</v>
      </c>
      <c r="D66" s="20" t="s">
        <v>286</v>
      </c>
      <c r="F66" s="22"/>
      <c r="G66" s="20"/>
      <c r="I66" s="22"/>
      <c r="J66" s="20"/>
    </row>
    <row r="67" spans="3:10" x14ac:dyDescent="0.25">
      <c r="C67" s="22" t="s">
        <v>275</v>
      </c>
      <c r="D67" s="20" t="s">
        <v>291</v>
      </c>
      <c r="F67" s="22"/>
      <c r="G67" s="20"/>
      <c r="I67" s="22"/>
      <c r="J67" s="20"/>
    </row>
    <row r="68" spans="3:10" x14ac:dyDescent="0.25">
      <c r="C68" s="22" t="s">
        <v>275</v>
      </c>
      <c r="D68" s="20" t="s">
        <v>276</v>
      </c>
      <c r="F68" s="22"/>
      <c r="G68" s="20"/>
      <c r="I68" s="22"/>
      <c r="J68" s="20"/>
    </row>
    <row r="69" spans="3:10" x14ac:dyDescent="0.25">
      <c r="C69" s="22" t="s">
        <v>275</v>
      </c>
      <c r="D69" s="20" t="s">
        <v>292</v>
      </c>
      <c r="F69" s="22"/>
      <c r="G69" s="20"/>
      <c r="I69" s="22"/>
      <c r="J69" s="20"/>
    </row>
    <row r="70" spans="3:10" x14ac:dyDescent="0.25">
      <c r="C70" s="22" t="s">
        <v>275</v>
      </c>
      <c r="D70" s="20" t="s">
        <v>289</v>
      </c>
      <c r="F70" s="22"/>
      <c r="G70" s="20"/>
      <c r="I70" s="22"/>
      <c r="J70" s="20"/>
    </row>
    <row r="71" spans="3:10" x14ac:dyDescent="0.25">
      <c r="C71" s="22" t="s">
        <v>275</v>
      </c>
      <c r="D71" s="20" t="s">
        <v>287</v>
      </c>
      <c r="F71" s="22"/>
      <c r="G71" s="20"/>
      <c r="I71" s="22"/>
      <c r="J71" s="20"/>
    </row>
    <row r="72" spans="3:10" x14ac:dyDescent="0.25">
      <c r="C72" s="22" t="s">
        <v>275</v>
      </c>
      <c r="D72" s="20" t="s">
        <v>279</v>
      </c>
      <c r="F72" s="22"/>
      <c r="G72" s="20"/>
      <c r="I72" s="22"/>
      <c r="J72" s="20"/>
    </row>
    <row r="73" spans="3:10" x14ac:dyDescent="0.25">
      <c r="C73" s="22" t="s">
        <v>275</v>
      </c>
      <c r="D73" s="20" t="s">
        <v>290</v>
      </c>
      <c r="F73" s="22"/>
      <c r="G73" s="20"/>
      <c r="I73" s="22"/>
      <c r="J73" s="20"/>
    </row>
    <row r="74" spans="3:10" x14ac:dyDescent="0.25">
      <c r="C74" s="22" t="s">
        <v>275</v>
      </c>
      <c r="D74" s="20" t="s">
        <v>280</v>
      </c>
      <c r="F74" s="22"/>
      <c r="G74" s="20"/>
      <c r="I74" s="22"/>
      <c r="J74" s="20"/>
    </row>
    <row r="75" spans="3:10" x14ac:dyDescent="0.25">
      <c r="C75" s="22" t="s">
        <v>275</v>
      </c>
      <c r="D75" s="20" t="s">
        <v>288</v>
      </c>
      <c r="F75" s="22"/>
      <c r="G75" s="20"/>
      <c r="I75" s="22"/>
      <c r="J75" s="20"/>
    </row>
    <row r="76" spans="3:10" x14ac:dyDescent="0.25">
      <c r="C76" s="22" t="s">
        <v>40</v>
      </c>
      <c r="D76" s="20" t="s">
        <v>99</v>
      </c>
      <c r="F76" s="22"/>
      <c r="G76" s="20"/>
      <c r="I76" s="22"/>
      <c r="J76" s="20"/>
    </row>
    <row r="77" spans="3:10" x14ac:dyDescent="0.25">
      <c r="C77" s="22" t="s">
        <v>40</v>
      </c>
      <c r="D77" s="20" t="s">
        <v>100</v>
      </c>
      <c r="F77" s="22"/>
      <c r="G77" s="20"/>
      <c r="I77" s="22"/>
      <c r="J77" s="20"/>
    </row>
    <row r="78" spans="3:10" x14ac:dyDescent="0.25">
      <c r="C78" s="22" t="s">
        <v>40</v>
      </c>
      <c r="D78" s="20" t="s">
        <v>101</v>
      </c>
      <c r="F78" s="22"/>
      <c r="G78" s="20"/>
      <c r="I78" s="22"/>
      <c r="J78" s="20"/>
    </row>
    <row r="79" spans="3:10" x14ac:dyDescent="0.25">
      <c r="C79" s="22" t="s">
        <v>40</v>
      </c>
      <c r="D79" s="20" t="s">
        <v>120</v>
      </c>
      <c r="F79" s="22"/>
      <c r="G79" s="20"/>
      <c r="I79" s="22"/>
      <c r="J79" s="20"/>
    </row>
    <row r="80" spans="3:10" x14ac:dyDescent="0.25">
      <c r="C80" s="22" t="s">
        <v>40</v>
      </c>
      <c r="D80" s="20" t="s">
        <v>102</v>
      </c>
      <c r="F80" s="22"/>
      <c r="G80" s="20"/>
      <c r="I80" s="22"/>
      <c r="J80" s="20"/>
    </row>
    <row r="81" spans="3:10" x14ac:dyDescent="0.25">
      <c r="C81" s="22" t="s">
        <v>40</v>
      </c>
      <c r="D81" s="20" t="s">
        <v>103</v>
      </c>
      <c r="F81" s="22"/>
      <c r="G81" s="20"/>
      <c r="I81" s="22"/>
      <c r="J81" s="20"/>
    </row>
    <row r="82" spans="3:10" x14ac:dyDescent="0.25">
      <c r="C82" s="22" t="s">
        <v>40</v>
      </c>
      <c r="D82" s="20" t="s">
        <v>104</v>
      </c>
      <c r="F82" s="22"/>
      <c r="G82" s="20"/>
      <c r="I82" s="22"/>
      <c r="J82" s="20"/>
    </row>
    <row r="83" spans="3:10" x14ac:dyDescent="0.25">
      <c r="C83" s="22" t="s">
        <v>40</v>
      </c>
      <c r="D83" s="20" t="s">
        <v>105</v>
      </c>
      <c r="F83" s="22"/>
      <c r="G83" s="20"/>
      <c r="I83" s="22"/>
      <c r="J83" s="20"/>
    </row>
    <row r="84" spans="3:10" x14ac:dyDescent="0.25">
      <c r="C84" s="22" t="s">
        <v>40</v>
      </c>
      <c r="D84" s="20" t="s">
        <v>106</v>
      </c>
      <c r="F84" s="22"/>
      <c r="G84" s="20"/>
      <c r="I84" s="22"/>
      <c r="J84" s="20"/>
    </row>
    <row r="85" spans="3:10" x14ac:dyDescent="0.25">
      <c r="C85" s="22" t="s">
        <v>40</v>
      </c>
      <c r="D85" s="20" t="s">
        <v>107</v>
      </c>
      <c r="F85" s="22"/>
      <c r="G85" s="20"/>
      <c r="I85" s="22"/>
      <c r="J85" s="20"/>
    </row>
    <row r="86" spans="3:10" x14ac:dyDescent="0.25">
      <c r="C86" s="22" t="s">
        <v>40</v>
      </c>
      <c r="D86" s="20" t="s">
        <v>108</v>
      </c>
      <c r="F86" s="22"/>
      <c r="G86" s="20"/>
      <c r="I86" s="22"/>
      <c r="J86" s="20"/>
    </row>
    <row r="87" spans="3:10" x14ac:dyDescent="0.25">
      <c r="C87" s="22" t="s">
        <v>40</v>
      </c>
      <c r="D87" s="20" t="s">
        <v>109</v>
      </c>
      <c r="F87" s="22"/>
      <c r="G87" s="20"/>
      <c r="I87" s="22"/>
      <c r="J87" s="20"/>
    </row>
    <row r="88" spans="3:10" x14ac:dyDescent="0.25">
      <c r="C88" s="22" t="s">
        <v>40</v>
      </c>
      <c r="D88" s="20" t="s">
        <v>110</v>
      </c>
      <c r="F88" s="22"/>
      <c r="G88" s="20"/>
      <c r="I88" s="22"/>
      <c r="J88" s="20"/>
    </row>
    <row r="89" spans="3:10" x14ac:dyDescent="0.25">
      <c r="C89" s="22" t="s">
        <v>40</v>
      </c>
      <c r="D89" s="20" t="s">
        <v>111</v>
      </c>
      <c r="F89" s="22"/>
      <c r="G89" s="20"/>
      <c r="I89" s="22"/>
      <c r="J89" s="20"/>
    </row>
    <row r="90" spans="3:10" x14ac:dyDescent="0.25">
      <c r="C90" s="22" t="s">
        <v>40</v>
      </c>
      <c r="D90" s="20" t="s">
        <v>119</v>
      </c>
      <c r="F90" s="22"/>
      <c r="G90" s="20"/>
      <c r="I90" s="22"/>
      <c r="J90" s="20"/>
    </row>
    <row r="91" spans="3:10" x14ac:dyDescent="0.25">
      <c r="C91" s="22" t="s">
        <v>40</v>
      </c>
      <c r="D91" s="20" t="s">
        <v>112</v>
      </c>
      <c r="F91" s="22"/>
      <c r="G91" s="20"/>
      <c r="I91" s="22"/>
      <c r="J91" s="20"/>
    </row>
    <row r="92" spans="3:10" x14ac:dyDescent="0.25">
      <c r="C92" s="22" t="s">
        <v>40</v>
      </c>
      <c r="D92" s="20" t="s">
        <v>113</v>
      </c>
      <c r="F92" s="22"/>
      <c r="G92" s="20"/>
      <c r="I92" s="22"/>
      <c r="J92" s="20"/>
    </row>
    <row r="93" spans="3:10" x14ac:dyDescent="0.25">
      <c r="C93" s="22" t="s">
        <v>40</v>
      </c>
      <c r="D93" s="20" t="s">
        <v>121</v>
      </c>
      <c r="F93" s="22"/>
      <c r="G93" s="20"/>
      <c r="I93" s="22"/>
      <c r="J93" s="20"/>
    </row>
    <row r="94" spans="3:10" x14ac:dyDescent="0.25">
      <c r="C94" s="22" t="s">
        <v>40</v>
      </c>
      <c r="D94" s="20" t="s">
        <v>114</v>
      </c>
      <c r="F94" s="22"/>
      <c r="G94" s="20"/>
      <c r="I94" s="22"/>
      <c r="J94" s="20"/>
    </row>
    <row r="95" spans="3:10" x14ac:dyDescent="0.25">
      <c r="C95" s="22" t="s">
        <v>40</v>
      </c>
      <c r="D95" s="20" t="s">
        <v>115</v>
      </c>
      <c r="F95" s="22"/>
      <c r="G95" s="20"/>
      <c r="I95" s="22"/>
      <c r="J95" s="20"/>
    </row>
    <row r="96" spans="3:10" x14ac:dyDescent="0.25">
      <c r="C96" s="22" t="s">
        <v>40</v>
      </c>
      <c r="D96" s="20" t="s">
        <v>116</v>
      </c>
      <c r="F96" s="22"/>
      <c r="G96" s="20"/>
      <c r="I96" s="22"/>
      <c r="J96" s="20"/>
    </row>
    <row r="97" spans="3:10" x14ac:dyDescent="0.25">
      <c r="C97" s="22" t="s">
        <v>40</v>
      </c>
      <c r="D97" s="20" t="s">
        <v>117</v>
      </c>
      <c r="F97" s="22"/>
      <c r="G97" s="20"/>
      <c r="I97" s="22"/>
      <c r="J97" s="20"/>
    </row>
    <row r="98" spans="3:10" x14ac:dyDescent="0.25">
      <c r="C98" s="22" t="s">
        <v>40</v>
      </c>
      <c r="D98" s="20" t="s">
        <v>118</v>
      </c>
      <c r="F98" s="22"/>
      <c r="G98" s="20"/>
      <c r="I98" s="22"/>
      <c r="J98" s="20"/>
    </row>
    <row r="99" spans="3:10" x14ac:dyDescent="0.25">
      <c r="C99" s="22" t="s">
        <v>41</v>
      </c>
      <c r="D99" s="20" t="s">
        <v>122</v>
      </c>
      <c r="F99" s="22"/>
      <c r="G99" s="20"/>
      <c r="I99" s="22"/>
      <c r="J99" s="20"/>
    </row>
    <row r="100" spans="3:10" x14ac:dyDescent="0.25">
      <c r="C100" s="22" t="s">
        <v>41</v>
      </c>
      <c r="D100" s="20" t="s">
        <v>123</v>
      </c>
      <c r="F100" s="22"/>
      <c r="G100" s="20"/>
      <c r="I100" s="22"/>
      <c r="J100" s="20"/>
    </row>
    <row r="101" spans="3:10" x14ac:dyDescent="0.25">
      <c r="C101" s="22" t="s">
        <v>41</v>
      </c>
      <c r="D101" s="20" t="s">
        <v>143</v>
      </c>
      <c r="F101" s="22"/>
      <c r="G101" s="20"/>
      <c r="I101" s="22"/>
      <c r="J101" s="20"/>
    </row>
    <row r="102" spans="3:10" x14ac:dyDescent="0.25">
      <c r="C102" s="22" t="s">
        <v>41</v>
      </c>
      <c r="D102" s="20" t="s">
        <v>124</v>
      </c>
      <c r="F102" s="22"/>
      <c r="G102" s="20"/>
      <c r="I102" s="22"/>
      <c r="J102" s="20"/>
    </row>
    <row r="103" spans="3:10" x14ac:dyDescent="0.25">
      <c r="C103" s="22" t="s">
        <v>41</v>
      </c>
      <c r="D103" s="20" t="s">
        <v>125</v>
      </c>
      <c r="F103" s="22"/>
      <c r="G103" s="20"/>
      <c r="I103" s="22"/>
      <c r="J103" s="20"/>
    </row>
    <row r="104" spans="3:10" x14ac:dyDescent="0.25">
      <c r="C104" s="22" t="s">
        <v>41</v>
      </c>
      <c r="D104" s="20" t="s">
        <v>126</v>
      </c>
      <c r="F104" s="22"/>
      <c r="G104" s="20"/>
      <c r="I104" s="22"/>
      <c r="J104" s="20"/>
    </row>
    <row r="105" spans="3:10" x14ac:dyDescent="0.25">
      <c r="C105" s="22" t="s">
        <v>41</v>
      </c>
      <c r="D105" s="20" t="s">
        <v>127</v>
      </c>
      <c r="F105" s="22"/>
      <c r="G105" s="20"/>
      <c r="I105" s="22"/>
      <c r="J105" s="20"/>
    </row>
    <row r="106" spans="3:10" x14ac:dyDescent="0.25">
      <c r="C106" s="22" t="s">
        <v>41</v>
      </c>
      <c r="D106" s="20" t="s">
        <v>128</v>
      </c>
      <c r="F106" s="22"/>
      <c r="G106" s="20"/>
      <c r="I106" s="22"/>
      <c r="J106" s="20"/>
    </row>
    <row r="107" spans="3:10" x14ac:dyDescent="0.25">
      <c r="C107" s="22" t="s">
        <v>41</v>
      </c>
      <c r="D107" s="20" t="s">
        <v>129</v>
      </c>
      <c r="F107" s="22"/>
      <c r="G107" s="20"/>
      <c r="I107" s="22"/>
      <c r="J107" s="20"/>
    </row>
    <row r="108" spans="3:10" x14ac:dyDescent="0.25">
      <c r="C108" s="22" t="s">
        <v>41</v>
      </c>
      <c r="D108" s="20" t="s">
        <v>130</v>
      </c>
      <c r="F108" s="22"/>
      <c r="G108" s="20"/>
      <c r="I108" s="22"/>
      <c r="J108" s="20"/>
    </row>
    <row r="109" spans="3:10" x14ac:dyDescent="0.25">
      <c r="C109" s="22" t="s">
        <v>41</v>
      </c>
      <c r="D109" s="20" t="s">
        <v>131</v>
      </c>
      <c r="F109" s="22"/>
      <c r="G109" s="20"/>
      <c r="I109" s="22"/>
      <c r="J109" s="20"/>
    </row>
    <row r="110" spans="3:10" x14ac:dyDescent="0.25">
      <c r="C110" s="22" t="s">
        <v>41</v>
      </c>
      <c r="D110" s="20" t="s">
        <v>132</v>
      </c>
      <c r="F110" s="22"/>
      <c r="G110" s="20"/>
      <c r="I110" s="22"/>
      <c r="J110" s="20"/>
    </row>
    <row r="111" spans="3:10" x14ac:dyDescent="0.25">
      <c r="C111" s="22" t="s">
        <v>41</v>
      </c>
      <c r="D111" s="20" t="s">
        <v>133</v>
      </c>
      <c r="F111" s="22"/>
      <c r="G111" s="20"/>
      <c r="I111" s="22"/>
      <c r="J111" s="20"/>
    </row>
    <row r="112" spans="3:10" x14ac:dyDescent="0.25">
      <c r="C112" s="22" t="s">
        <v>41</v>
      </c>
      <c r="D112" s="20" t="s">
        <v>134</v>
      </c>
      <c r="F112" s="22"/>
      <c r="G112" s="20"/>
      <c r="I112" s="22"/>
      <c r="J112" s="20"/>
    </row>
    <row r="113" spans="3:10" x14ac:dyDescent="0.25">
      <c r="C113" s="22" t="s">
        <v>41</v>
      </c>
      <c r="D113" s="20" t="s">
        <v>135</v>
      </c>
      <c r="F113" s="22"/>
      <c r="G113" s="20"/>
      <c r="I113" s="22"/>
      <c r="J113" s="20"/>
    </row>
    <row r="114" spans="3:10" x14ac:dyDescent="0.25">
      <c r="C114" s="22" t="s">
        <v>41</v>
      </c>
      <c r="D114" s="20" t="s">
        <v>136</v>
      </c>
      <c r="F114" s="22"/>
      <c r="G114" s="20"/>
      <c r="I114" s="22"/>
      <c r="J114" s="20"/>
    </row>
    <row r="115" spans="3:10" x14ac:dyDescent="0.25">
      <c r="C115" s="22" t="s">
        <v>41</v>
      </c>
      <c r="D115" s="20" t="s">
        <v>137</v>
      </c>
      <c r="F115" s="22"/>
      <c r="G115" s="20"/>
      <c r="I115" s="22"/>
      <c r="J115" s="20"/>
    </row>
    <row r="116" spans="3:10" x14ac:dyDescent="0.25">
      <c r="C116" s="22" t="s">
        <v>41</v>
      </c>
      <c r="D116" s="20" t="s">
        <v>138</v>
      </c>
      <c r="F116" s="22"/>
      <c r="G116" s="20"/>
      <c r="I116" s="22"/>
      <c r="J116" s="20"/>
    </row>
    <row r="117" spans="3:10" x14ac:dyDescent="0.25">
      <c r="C117" s="22" t="s">
        <v>41</v>
      </c>
      <c r="D117" s="20" t="s">
        <v>139</v>
      </c>
      <c r="F117" s="22"/>
      <c r="G117" s="20"/>
      <c r="I117" s="22"/>
      <c r="J117" s="20"/>
    </row>
    <row r="118" spans="3:10" x14ac:dyDescent="0.25">
      <c r="C118" s="22" t="s">
        <v>41</v>
      </c>
      <c r="D118" s="20" t="s">
        <v>140</v>
      </c>
      <c r="F118" s="22"/>
      <c r="G118" s="20"/>
      <c r="I118" s="22"/>
      <c r="J118" s="20"/>
    </row>
    <row r="119" spans="3:10" x14ac:dyDescent="0.25">
      <c r="C119" s="22" t="s">
        <v>41</v>
      </c>
      <c r="D119" s="20" t="s">
        <v>141</v>
      </c>
      <c r="F119" s="22"/>
      <c r="G119" s="20"/>
      <c r="I119" s="22"/>
      <c r="J119" s="20"/>
    </row>
    <row r="120" spans="3:10" x14ac:dyDescent="0.25">
      <c r="C120" s="22" t="s">
        <v>41</v>
      </c>
      <c r="D120" s="20" t="s">
        <v>142</v>
      </c>
      <c r="F120" s="22"/>
      <c r="G120" s="20"/>
      <c r="I120" s="22"/>
      <c r="J120" s="20"/>
    </row>
    <row r="121" spans="3:10" x14ac:dyDescent="0.25">
      <c r="C121" s="22" t="s">
        <v>42</v>
      </c>
      <c r="D121" s="20" t="s">
        <v>146</v>
      </c>
      <c r="F121" s="22"/>
      <c r="G121" s="20"/>
      <c r="I121" s="22"/>
      <c r="J121" s="20"/>
    </row>
    <row r="122" spans="3:10" x14ac:dyDescent="0.25">
      <c r="C122" s="22" t="s">
        <v>42</v>
      </c>
      <c r="D122" s="20" t="s">
        <v>151</v>
      </c>
      <c r="F122" s="22"/>
      <c r="G122" s="20"/>
      <c r="I122" s="22"/>
      <c r="J122" s="20"/>
    </row>
    <row r="123" spans="3:10" x14ac:dyDescent="0.25">
      <c r="C123" s="22" t="s">
        <v>42</v>
      </c>
      <c r="D123" s="20" t="s">
        <v>162</v>
      </c>
      <c r="F123" s="22"/>
      <c r="G123" s="20"/>
      <c r="I123" s="22"/>
      <c r="J123" s="20"/>
    </row>
    <row r="124" spans="3:10" x14ac:dyDescent="0.25">
      <c r="C124" s="22" t="s">
        <v>42</v>
      </c>
      <c r="D124" s="20" t="s">
        <v>144</v>
      </c>
      <c r="F124" s="22"/>
      <c r="G124" s="20"/>
      <c r="I124" s="22"/>
      <c r="J124" s="20"/>
    </row>
    <row r="125" spans="3:10" x14ac:dyDescent="0.25">
      <c r="C125" s="22" t="s">
        <v>42</v>
      </c>
      <c r="D125" s="20" t="s">
        <v>147</v>
      </c>
      <c r="F125" s="22"/>
      <c r="G125" s="20"/>
      <c r="I125" s="22"/>
      <c r="J125" s="20"/>
    </row>
    <row r="126" spans="3:10" x14ac:dyDescent="0.25">
      <c r="C126" s="22" t="s">
        <v>42</v>
      </c>
      <c r="D126" s="20" t="s">
        <v>148</v>
      </c>
      <c r="F126" s="22"/>
      <c r="G126" s="20"/>
      <c r="I126" s="22"/>
      <c r="J126" s="20"/>
    </row>
    <row r="127" spans="3:10" x14ac:dyDescent="0.25">
      <c r="C127" s="22" t="s">
        <v>42</v>
      </c>
      <c r="D127" s="20" t="s">
        <v>149</v>
      </c>
      <c r="F127" s="22"/>
      <c r="G127" s="20"/>
      <c r="I127" s="22"/>
      <c r="J127" s="20"/>
    </row>
    <row r="128" spans="3:10" x14ac:dyDescent="0.25">
      <c r="C128" s="22" t="s">
        <v>42</v>
      </c>
      <c r="D128" s="20" t="s">
        <v>153</v>
      </c>
      <c r="F128" s="22"/>
      <c r="G128" s="20"/>
      <c r="I128" s="22"/>
      <c r="J128" s="20"/>
    </row>
    <row r="129" spans="3:10" x14ac:dyDescent="0.25">
      <c r="C129" s="22" t="s">
        <v>42</v>
      </c>
      <c r="D129" s="20" t="s">
        <v>163</v>
      </c>
      <c r="F129" s="22"/>
      <c r="G129" s="20"/>
      <c r="I129" s="22"/>
      <c r="J129" s="20"/>
    </row>
    <row r="130" spans="3:10" x14ac:dyDescent="0.25">
      <c r="C130" s="22" t="s">
        <v>42</v>
      </c>
      <c r="D130" s="20" t="s">
        <v>156</v>
      </c>
      <c r="F130" s="22"/>
      <c r="G130" s="20"/>
      <c r="I130" s="22"/>
      <c r="J130" s="20"/>
    </row>
    <row r="131" spans="3:10" x14ac:dyDescent="0.25">
      <c r="C131" s="22" t="s">
        <v>42</v>
      </c>
      <c r="D131" s="20" t="s">
        <v>159</v>
      </c>
      <c r="F131" s="22"/>
      <c r="G131" s="20"/>
      <c r="I131" s="22"/>
      <c r="J131" s="20"/>
    </row>
    <row r="132" spans="3:10" x14ac:dyDescent="0.25">
      <c r="C132" s="22" t="s">
        <v>42</v>
      </c>
      <c r="D132" s="20" t="s">
        <v>161</v>
      </c>
      <c r="F132" s="22"/>
      <c r="G132" s="20"/>
      <c r="I132" s="22"/>
      <c r="J132" s="20"/>
    </row>
    <row r="133" spans="3:10" x14ac:dyDescent="0.25">
      <c r="C133" s="22" t="s">
        <v>42</v>
      </c>
      <c r="D133" s="20" t="s">
        <v>160</v>
      </c>
      <c r="F133" s="22"/>
      <c r="G133" s="20"/>
      <c r="I133" s="22"/>
      <c r="J133" s="20"/>
    </row>
    <row r="134" spans="3:10" x14ac:dyDescent="0.25">
      <c r="C134" s="22" t="s">
        <v>42</v>
      </c>
      <c r="D134" s="20" t="s">
        <v>145</v>
      </c>
      <c r="F134" s="22"/>
      <c r="G134" s="20"/>
      <c r="I134" s="22"/>
      <c r="J134" s="20"/>
    </row>
    <row r="135" spans="3:10" x14ac:dyDescent="0.25">
      <c r="C135" s="22" t="s">
        <v>42</v>
      </c>
      <c r="D135" s="20" t="s">
        <v>150</v>
      </c>
      <c r="F135" s="22"/>
      <c r="G135" s="20"/>
      <c r="I135" s="22"/>
      <c r="J135" s="20"/>
    </row>
    <row r="136" spans="3:10" x14ac:dyDescent="0.25">
      <c r="C136" s="22" t="s">
        <v>42</v>
      </c>
      <c r="D136" s="20" t="s">
        <v>158</v>
      </c>
      <c r="F136" s="22"/>
      <c r="G136" s="20"/>
      <c r="I136" s="22"/>
      <c r="J136" s="20"/>
    </row>
    <row r="137" spans="3:10" x14ac:dyDescent="0.25">
      <c r="C137" s="22" t="s">
        <v>42</v>
      </c>
      <c r="D137" s="20" t="s">
        <v>152</v>
      </c>
      <c r="F137" s="22"/>
      <c r="G137" s="20"/>
      <c r="I137" s="22"/>
      <c r="J137" s="20"/>
    </row>
    <row r="138" spans="3:10" x14ac:dyDescent="0.25">
      <c r="C138" s="22" t="s">
        <v>42</v>
      </c>
      <c r="D138" s="20" t="s">
        <v>157</v>
      </c>
      <c r="F138" s="22"/>
      <c r="G138" s="20"/>
      <c r="I138" s="22"/>
      <c r="J138" s="20"/>
    </row>
    <row r="139" spans="3:10" x14ac:dyDescent="0.25">
      <c r="C139" s="22" t="s">
        <v>42</v>
      </c>
      <c r="D139" s="20" t="s">
        <v>154</v>
      </c>
      <c r="F139" s="22"/>
      <c r="G139" s="20"/>
      <c r="I139" s="22"/>
      <c r="J139" s="20"/>
    </row>
    <row r="140" spans="3:10" x14ac:dyDescent="0.25">
      <c r="C140" s="22" t="s">
        <v>42</v>
      </c>
      <c r="D140" s="20" t="s">
        <v>155</v>
      </c>
      <c r="F140" s="22"/>
      <c r="G140" s="20"/>
      <c r="I140" s="22"/>
      <c r="J140" s="20"/>
    </row>
    <row r="141" spans="3:10" x14ac:dyDescent="0.25">
      <c r="C141" s="22" t="s">
        <v>43</v>
      </c>
      <c r="D141" s="20" t="s">
        <v>173</v>
      </c>
      <c r="F141" s="22"/>
      <c r="G141" s="20"/>
      <c r="I141" s="22"/>
      <c r="J141" s="20"/>
    </row>
    <row r="142" spans="3:10" x14ac:dyDescent="0.25">
      <c r="C142" s="22" t="s">
        <v>43</v>
      </c>
      <c r="D142" s="20" t="s">
        <v>176</v>
      </c>
      <c r="F142" s="22"/>
      <c r="G142" s="20"/>
      <c r="I142" s="22"/>
      <c r="J142" s="20"/>
    </row>
    <row r="143" spans="3:10" x14ac:dyDescent="0.25">
      <c r="C143" s="22" t="s">
        <v>43</v>
      </c>
      <c r="D143" s="20" t="s">
        <v>177</v>
      </c>
      <c r="F143" s="22"/>
      <c r="G143" s="20"/>
      <c r="I143" s="22"/>
      <c r="J143" s="20"/>
    </row>
    <row r="144" spans="3:10" x14ac:dyDescent="0.25">
      <c r="C144" s="22" t="s">
        <v>43</v>
      </c>
      <c r="D144" s="20" t="s">
        <v>166</v>
      </c>
      <c r="F144" s="22"/>
      <c r="G144" s="20"/>
      <c r="I144" s="22"/>
      <c r="J144" s="20"/>
    </row>
    <row r="145" spans="3:10" x14ac:dyDescent="0.25">
      <c r="C145" s="22" t="s">
        <v>43</v>
      </c>
      <c r="D145" s="20" t="s">
        <v>167</v>
      </c>
      <c r="F145" s="22"/>
      <c r="G145" s="20"/>
      <c r="I145" s="22"/>
      <c r="J145" s="20"/>
    </row>
    <row r="146" spans="3:10" x14ac:dyDescent="0.25">
      <c r="C146" s="22" t="s">
        <v>43</v>
      </c>
      <c r="D146" s="20" t="s">
        <v>183</v>
      </c>
      <c r="F146" s="22"/>
      <c r="G146" s="20"/>
      <c r="I146" s="22"/>
      <c r="J146" s="20"/>
    </row>
    <row r="147" spans="3:10" x14ac:dyDescent="0.25">
      <c r="C147" s="22" t="s">
        <v>43</v>
      </c>
      <c r="D147" s="20" t="s">
        <v>168</v>
      </c>
      <c r="F147" s="22"/>
      <c r="G147" s="20"/>
      <c r="I147" s="22"/>
      <c r="J147" s="20"/>
    </row>
    <row r="148" spans="3:10" x14ac:dyDescent="0.25">
      <c r="C148" s="22" t="s">
        <v>43</v>
      </c>
      <c r="D148" s="20" t="s">
        <v>181</v>
      </c>
      <c r="F148" s="22"/>
      <c r="G148" s="20"/>
      <c r="I148" s="22"/>
      <c r="J148" s="20"/>
    </row>
    <row r="149" spans="3:10" x14ac:dyDescent="0.25">
      <c r="C149" s="22" t="s">
        <v>43</v>
      </c>
      <c r="D149" s="20" t="s">
        <v>174</v>
      </c>
      <c r="F149" s="22"/>
      <c r="G149" s="20"/>
      <c r="I149" s="22"/>
      <c r="J149" s="20"/>
    </row>
    <row r="150" spans="3:10" x14ac:dyDescent="0.25">
      <c r="C150" s="22" t="s">
        <v>43</v>
      </c>
      <c r="D150" s="20" t="s">
        <v>182</v>
      </c>
      <c r="F150" s="22"/>
      <c r="G150" s="20"/>
      <c r="I150" s="22"/>
      <c r="J150" s="20"/>
    </row>
    <row r="151" spans="3:10" x14ac:dyDescent="0.25">
      <c r="C151" s="22" t="s">
        <v>43</v>
      </c>
      <c r="D151" s="20" t="s">
        <v>165</v>
      </c>
      <c r="F151" s="22"/>
      <c r="G151" s="20"/>
      <c r="I151" s="22"/>
      <c r="J151" s="20"/>
    </row>
    <row r="152" spans="3:10" x14ac:dyDescent="0.25">
      <c r="C152" s="22" t="s">
        <v>43</v>
      </c>
      <c r="D152" s="20" t="s">
        <v>170</v>
      </c>
      <c r="F152" s="22"/>
      <c r="G152" s="20"/>
      <c r="I152" s="22"/>
      <c r="J152" s="20"/>
    </row>
    <row r="153" spans="3:10" x14ac:dyDescent="0.25">
      <c r="C153" s="22" t="s">
        <v>43</v>
      </c>
      <c r="D153" s="20" t="s">
        <v>172</v>
      </c>
      <c r="F153" s="22"/>
      <c r="G153" s="20"/>
      <c r="I153" s="22"/>
      <c r="J153" s="20"/>
    </row>
    <row r="154" spans="3:10" x14ac:dyDescent="0.25">
      <c r="C154" s="22" t="s">
        <v>43</v>
      </c>
      <c r="D154" s="20" t="s">
        <v>178</v>
      </c>
      <c r="F154" s="22"/>
      <c r="G154" s="20"/>
      <c r="I154" s="22"/>
      <c r="J154" s="20"/>
    </row>
    <row r="155" spans="3:10" x14ac:dyDescent="0.25">
      <c r="C155" s="22" t="s">
        <v>43</v>
      </c>
      <c r="D155" s="20" t="s">
        <v>169</v>
      </c>
      <c r="F155" s="22"/>
      <c r="G155" s="20"/>
      <c r="I155" s="22"/>
      <c r="J155" s="20"/>
    </row>
    <row r="156" spans="3:10" x14ac:dyDescent="0.25">
      <c r="C156" s="22" t="s">
        <v>43</v>
      </c>
      <c r="D156" s="20" t="s">
        <v>171</v>
      </c>
      <c r="F156" s="22"/>
      <c r="G156" s="20"/>
      <c r="I156" s="22"/>
      <c r="J156" s="20"/>
    </row>
    <row r="157" spans="3:10" x14ac:dyDescent="0.25">
      <c r="C157" s="22" t="s">
        <v>43</v>
      </c>
      <c r="D157" s="20" t="s">
        <v>164</v>
      </c>
      <c r="F157" s="22"/>
      <c r="G157" s="20"/>
      <c r="I157" s="22"/>
      <c r="J157" s="20"/>
    </row>
    <row r="158" spans="3:10" x14ac:dyDescent="0.25">
      <c r="C158" s="22" t="s">
        <v>43</v>
      </c>
      <c r="D158" s="20" t="s">
        <v>180</v>
      </c>
      <c r="F158" s="22"/>
      <c r="G158" s="20"/>
      <c r="I158" s="22"/>
      <c r="J158" s="20"/>
    </row>
    <row r="159" spans="3:10" x14ac:dyDescent="0.25">
      <c r="C159" s="22" t="s">
        <v>43</v>
      </c>
      <c r="D159" s="20" t="s">
        <v>175</v>
      </c>
      <c r="F159" s="22"/>
      <c r="G159" s="20"/>
      <c r="I159" s="22"/>
      <c r="J159" s="20"/>
    </row>
    <row r="160" spans="3:10" x14ac:dyDescent="0.25">
      <c r="C160" s="22" t="s">
        <v>43</v>
      </c>
      <c r="D160" s="20" t="s">
        <v>179</v>
      </c>
      <c r="F160" s="22"/>
      <c r="G160" s="20"/>
      <c r="I160" s="22"/>
      <c r="J160" s="20"/>
    </row>
    <row r="161" spans="3:10" x14ac:dyDescent="0.25">
      <c r="C161" s="22" t="s">
        <v>44</v>
      </c>
      <c r="D161" s="20" t="s">
        <v>380</v>
      </c>
      <c r="F161" s="22"/>
      <c r="G161" s="20"/>
      <c r="I161" s="22"/>
      <c r="J161" s="20"/>
    </row>
    <row r="162" spans="3:10" x14ac:dyDescent="0.25">
      <c r="C162" s="22" t="s">
        <v>44</v>
      </c>
      <c r="D162" s="20" t="s">
        <v>385</v>
      </c>
      <c r="F162" s="22"/>
      <c r="G162" s="20"/>
      <c r="I162" s="22"/>
      <c r="J162" s="20"/>
    </row>
    <row r="163" spans="3:10" x14ac:dyDescent="0.25">
      <c r="C163" s="22" t="s">
        <v>44</v>
      </c>
      <c r="D163" s="20" t="s">
        <v>386</v>
      </c>
      <c r="F163" s="22"/>
      <c r="G163" s="20"/>
      <c r="I163" s="22"/>
      <c r="J163" s="20"/>
    </row>
    <row r="164" spans="3:10" x14ac:dyDescent="0.25">
      <c r="C164" s="22" t="s">
        <v>44</v>
      </c>
      <c r="D164" s="20" t="s">
        <v>387</v>
      </c>
      <c r="F164" s="22"/>
      <c r="G164" s="20"/>
      <c r="I164" s="22"/>
      <c r="J164" s="20"/>
    </row>
    <row r="165" spans="3:10" x14ac:dyDescent="0.25">
      <c r="C165" s="22" t="s">
        <v>44</v>
      </c>
      <c r="D165" s="20" t="s">
        <v>388</v>
      </c>
      <c r="F165" s="22"/>
      <c r="G165" s="20"/>
      <c r="I165" s="22"/>
      <c r="J165" s="20"/>
    </row>
    <row r="166" spans="3:10" x14ac:dyDescent="0.25">
      <c r="C166" s="22" t="s">
        <v>44</v>
      </c>
      <c r="D166" s="20" t="s">
        <v>389</v>
      </c>
      <c r="F166" s="22"/>
      <c r="G166" s="20"/>
      <c r="I166" s="22"/>
      <c r="J166" s="20"/>
    </row>
    <row r="167" spans="3:10" x14ac:dyDescent="0.25">
      <c r="C167" s="22" t="s">
        <v>44</v>
      </c>
      <c r="D167" s="20" t="s">
        <v>390</v>
      </c>
      <c r="F167" s="22"/>
      <c r="G167" s="20"/>
      <c r="I167" s="22"/>
      <c r="J167" s="20"/>
    </row>
    <row r="168" spans="3:10" x14ac:dyDescent="0.25">
      <c r="C168" s="22" t="s">
        <v>44</v>
      </c>
      <c r="D168" s="20" t="s">
        <v>391</v>
      </c>
      <c r="F168" s="22"/>
      <c r="G168" s="20"/>
      <c r="I168" s="22"/>
      <c r="J168" s="20"/>
    </row>
    <row r="169" spans="3:10" x14ac:dyDescent="0.25">
      <c r="C169" s="22" t="s">
        <v>44</v>
      </c>
      <c r="D169" s="20" t="s">
        <v>392</v>
      </c>
      <c r="F169" s="22"/>
      <c r="G169" s="20"/>
      <c r="I169" s="22"/>
      <c r="J169" s="20"/>
    </row>
    <row r="170" spans="3:10" x14ac:dyDescent="0.25">
      <c r="C170" s="22" t="s">
        <v>44</v>
      </c>
      <c r="D170" s="20" t="s">
        <v>393</v>
      </c>
      <c r="F170" s="22"/>
      <c r="G170" s="20"/>
      <c r="I170" s="22"/>
      <c r="J170" s="20"/>
    </row>
    <row r="171" spans="3:10" x14ac:dyDescent="0.25">
      <c r="C171" s="22" t="s">
        <v>44</v>
      </c>
      <c r="D171" s="20" t="s">
        <v>394</v>
      </c>
      <c r="F171" s="22"/>
      <c r="G171" s="20"/>
      <c r="I171" s="22"/>
      <c r="J171" s="20"/>
    </row>
    <row r="172" spans="3:10" x14ac:dyDescent="0.25">
      <c r="C172" s="22" t="s">
        <v>44</v>
      </c>
      <c r="D172" s="20" t="s">
        <v>395</v>
      </c>
      <c r="F172" s="22"/>
      <c r="G172" s="20"/>
      <c r="I172" s="22"/>
      <c r="J172" s="20"/>
    </row>
    <row r="173" spans="3:10" x14ac:dyDescent="0.25">
      <c r="C173" s="22" t="s">
        <v>44</v>
      </c>
      <c r="D173" s="20" t="s">
        <v>396</v>
      </c>
      <c r="F173" s="22"/>
      <c r="G173" s="20"/>
      <c r="I173" s="22"/>
      <c r="J173" s="20"/>
    </row>
    <row r="174" spans="3:10" x14ac:dyDescent="0.25">
      <c r="C174" s="22" t="s">
        <v>44</v>
      </c>
      <c r="D174" s="20" t="s">
        <v>397</v>
      </c>
      <c r="F174" s="22"/>
      <c r="G174" s="20"/>
      <c r="I174" s="22"/>
      <c r="J174" s="20"/>
    </row>
    <row r="175" spans="3:10" x14ac:dyDescent="0.25">
      <c r="C175" s="22" t="s">
        <v>44</v>
      </c>
      <c r="D175" s="20" t="s">
        <v>398</v>
      </c>
      <c r="F175" s="22"/>
      <c r="G175" s="20"/>
      <c r="I175" s="22"/>
      <c r="J175" s="20"/>
    </row>
    <row r="176" spans="3:10" x14ac:dyDescent="0.25">
      <c r="C176" s="22" t="s">
        <v>44</v>
      </c>
      <c r="D176" s="20" t="s">
        <v>384</v>
      </c>
      <c r="F176" s="22"/>
      <c r="G176" s="20"/>
      <c r="I176" s="22"/>
      <c r="J176" s="20"/>
    </row>
    <row r="177" spans="3:10" x14ac:dyDescent="0.25">
      <c r="C177" s="22" t="s">
        <v>44</v>
      </c>
      <c r="D177" s="20" t="s">
        <v>383</v>
      </c>
      <c r="F177" s="22"/>
      <c r="G177" s="20"/>
      <c r="I177" s="22"/>
      <c r="J177" s="20"/>
    </row>
    <row r="178" spans="3:10" x14ac:dyDescent="0.25">
      <c r="C178" s="22" t="s">
        <v>44</v>
      </c>
      <c r="D178" s="20" t="s">
        <v>382</v>
      </c>
      <c r="F178" s="22"/>
      <c r="G178" s="20"/>
      <c r="I178" s="22"/>
      <c r="J178" s="20"/>
    </row>
    <row r="179" spans="3:10" x14ac:dyDescent="0.25">
      <c r="C179" s="22" t="s">
        <v>44</v>
      </c>
      <c r="D179" s="20" t="s">
        <v>381</v>
      </c>
      <c r="F179" s="22"/>
      <c r="G179" s="20"/>
      <c r="I179" s="22"/>
      <c r="J179" s="20"/>
    </row>
    <row r="180" spans="3:10" x14ac:dyDescent="0.25">
      <c r="C180" s="22" t="s">
        <v>184</v>
      </c>
      <c r="D180" s="20" t="s">
        <v>186</v>
      </c>
      <c r="F180" s="22"/>
      <c r="G180" s="20"/>
      <c r="I180" s="22"/>
      <c r="J180" s="20"/>
    </row>
    <row r="181" spans="3:10" x14ac:dyDescent="0.25">
      <c r="C181" s="22" t="s">
        <v>184</v>
      </c>
      <c r="D181" s="20" t="s">
        <v>187</v>
      </c>
      <c r="F181" s="22"/>
      <c r="G181" s="20"/>
      <c r="I181" s="22"/>
      <c r="J181" s="20"/>
    </row>
    <row r="182" spans="3:10" x14ac:dyDescent="0.25">
      <c r="C182" s="22" t="s">
        <v>184</v>
      </c>
      <c r="D182" s="20" t="s">
        <v>185</v>
      </c>
      <c r="F182" s="22"/>
      <c r="G182" s="20"/>
      <c r="I182" s="22"/>
      <c r="J182" s="20"/>
    </row>
    <row r="183" spans="3:10" x14ac:dyDescent="0.25">
      <c r="C183" s="22" t="s">
        <v>184</v>
      </c>
      <c r="D183" s="20" t="s">
        <v>188</v>
      </c>
      <c r="F183" s="22"/>
      <c r="G183" s="20"/>
      <c r="I183" s="22"/>
      <c r="J183" s="20"/>
    </row>
    <row r="184" spans="3:10" x14ac:dyDescent="0.25">
      <c r="C184" s="22" t="s">
        <v>184</v>
      </c>
      <c r="D184" s="20" t="s">
        <v>189</v>
      </c>
      <c r="F184" s="22"/>
      <c r="G184" s="20"/>
      <c r="I184" s="22"/>
      <c r="J184" s="20"/>
    </row>
    <row r="185" spans="3:10" x14ac:dyDescent="0.25">
      <c r="C185" s="22" t="s">
        <v>184</v>
      </c>
      <c r="D185" s="20" t="s">
        <v>190</v>
      </c>
      <c r="F185" s="22"/>
      <c r="G185" s="20"/>
      <c r="I185" s="22"/>
      <c r="J185" s="20"/>
    </row>
    <row r="186" spans="3:10" x14ac:dyDescent="0.25">
      <c r="C186" s="22" t="s">
        <v>184</v>
      </c>
      <c r="D186" s="20" t="s">
        <v>191</v>
      </c>
      <c r="F186" s="22"/>
      <c r="G186" s="20"/>
      <c r="I186" s="22"/>
      <c r="J186" s="20"/>
    </row>
    <row r="187" spans="3:10" x14ac:dyDescent="0.25">
      <c r="C187" s="22" t="s">
        <v>184</v>
      </c>
      <c r="D187" s="20" t="s">
        <v>192</v>
      </c>
      <c r="F187" s="22"/>
      <c r="G187" s="20"/>
      <c r="I187" s="22"/>
      <c r="J187" s="20"/>
    </row>
    <row r="188" spans="3:10" x14ac:dyDescent="0.25">
      <c r="C188" s="22" t="s">
        <v>184</v>
      </c>
      <c r="D188" s="20" t="s">
        <v>193</v>
      </c>
      <c r="F188" s="22"/>
      <c r="G188" s="20"/>
      <c r="I188" s="22"/>
      <c r="J188" s="20"/>
    </row>
    <row r="189" spans="3:10" x14ac:dyDescent="0.25">
      <c r="C189" s="22" t="s">
        <v>184</v>
      </c>
      <c r="D189" s="20" t="s">
        <v>194</v>
      </c>
      <c r="F189" s="22"/>
      <c r="G189" s="20"/>
      <c r="I189" s="22"/>
      <c r="J189" s="20"/>
    </row>
    <row r="190" spans="3:10" x14ac:dyDescent="0.25">
      <c r="C190" s="22" t="s">
        <v>184</v>
      </c>
      <c r="D190" s="20" t="s">
        <v>195</v>
      </c>
      <c r="F190" s="22"/>
      <c r="G190" s="20"/>
      <c r="I190" s="22"/>
      <c r="J190" s="20"/>
    </row>
    <row r="191" spans="3:10" x14ac:dyDescent="0.25">
      <c r="C191" s="22" t="s">
        <v>184</v>
      </c>
      <c r="D191" s="20" t="s">
        <v>196</v>
      </c>
      <c r="F191" s="22"/>
      <c r="G191" s="20"/>
      <c r="I191" s="22"/>
      <c r="J191" s="20"/>
    </row>
    <row r="192" spans="3:10" x14ac:dyDescent="0.25">
      <c r="C192" s="22" t="s">
        <v>184</v>
      </c>
      <c r="D192" s="20" t="s">
        <v>197</v>
      </c>
      <c r="F192" s="22"/>
      <c r="G192" s="20"/>
      <c r="I192" s="22"/>
      <c r="J192" s="20"/>
    </row>
    <row r="193" spans="3:10" x14ac:dyDescent="0.25">
      <c r="C193" s="22" t="s">
        <v>184</v>
      </c>
      <c r="D193" s="20" t="s">
        <v>198</v>
      </c>
      <c r="F193" s="22"/>
      <c r="G193" s="20"/>
      <c r="I193" s="22"/>
      <c r="J193" s="20"/>
    </row>
    <row r="194" spans="3:10" x14ac:dyDescent="0.25">
      <c r="C194" s="22" t="s">
        <v>184</v>
      </c>
      <c r="D194" s="20" t="s">
        <v>199</v>
      </c>
      <c r="F194" s="22"/>
      <c r="G194" s="20"/>
      <c r="I194" s="22"/>
      <c r="J194" s="20"/>
    </row>
    <row r="195" spans="3:10" x14ac:dyDescent="0.25">
      <c r="C195" s="22" t="s">
        <v>184</v>
      </c>
      <c r="D195" s="20" t="s">
        <v>202</v>
      </c>
      <c r="F195" s="22"/>
      <c r="G195" s="20"/>
      <c r="I195" s="22"/>
      <c r="J195" s="20"/>
    </row>
    <row r="196" spans="3:10" x14ac:dyDescent="0.25">
      <c r="C196" s="22" t="s">
        <v>184</v>
      </c>
      <c r="D196" s="20" t="s">
        <v>200</v>
      </c>
      <c r="F196" s="22"/>
      <c r="G196" s="20"/>
      <c r="I196" s="22"/>
      <c r="J196" s="20"/>
    </row>
    <row r="197" spans="3:10" x14ac:dyDescent="0.25">
      <c r="C197" s="22" t="s">
        <v>184</v>
      </c>
      <c r="D197" s="20" t="s">
        <v>201</v>
      </c>
      <c r="F197" s="22"/>
      <c r="G197" s="20"/>
      <c r="I197" s="22"/>
      <c r="J197" s="20"/>
    </row>
    <row r="198" spans="3:10" x14ac:dyDescent="0.25">
      <c r="C198" s="22" t="s">
        <v>184</v>
      </c>
      <c r="D198" s="20" t="s">
        <v>203</v>
      </c>
      <c r="F198" s="22"/>
      <c r="G198" s="20"/>
      <c r="I198" s="22"/>
      <c r="J198" s="20"/>
    </row>
    <row r="199" spans="3:10" x14ac:dyDescent="0.25">
      <c r="C199" s="22" t="s">
        <v>46</v>
      </c>
      <c r="D199" s="20" t="s">
        <v>220</v>
      </c>
      <c r="F199" s="22"/>
      <c r="G199" s="20"/>
      <c r="I199" s="22"/>
      <c r="J199" s="20"/>
    </row>
    <row r="200" spans="3:10" x14ac:dyDescent="0.25">
      <c r="C200" s="22" t="s">
        <v>46</v>
      </c>
      <c r="D200" s="20" t="s">
        <v>223</v>
      </c>
      <c r="F200" s="22"/>
      <c r="G200" s="20"/>
      <c r="I200" s="22"/>
      <c r="J200" s="20"/>
    </row>
    <row r="201" spans="3:10" x14ac:dyDescent="0.25">
      <c r="C201" s="22" t="s">
        <v>46</v>
      </c>
      <c r="D201" s="20" t="s">
        <v>214</v>
      </c>
      <c r="F201" s="22"/>
      <c r="G201" s="20"/>
      <c r="I201" s="22"/>
      <c r="J201" s="20"/>
    </row>
    <row r="202" spans="3:10" x14ac:dyDescent="0.25">
      <c r="C202" s="22" t="s">
        <v>46</v>
      </c>
      <c r="D202" s="20" t="s">
        <v>215</v>
      </c>
      <c r="F202" s="22"/>
      <c r="G202" s="20"/>
      <c r="I202" s="22"/>
      <c r="J202" s="20"/>
    </row>
    <row r="203" spans="3:10" x14ac:dyDescent="0.25">
      <c r="C203" s="22" t="s">
        <v>46</v>
      </c>
      <c r="D203" s="20" t="s">
        <v>217</v>
      </c>
      <c r="F203" s="22"/>
      <c r="G203" s="20"/>
      <c r="I203" s="22"/>
      <c r="J203" s="20"/>
    </row>
    <row r="204" spans="3:10" x14ac:dyDescent="0.25">
      <c r="C204" s="22" t="s">
        <v>46</v>
      </c>
      <c r="D204" s="20" t="s">
        <v>212</v>
      </c>
      <c r="F204" s="22"/>
      <c r="G204" s="20"/>
      <c r="I204" s="22"/>
      <c r="J204" s="20"/>
    </row>
    <row r="205" spans="3:10" x14ac:dyDescent="0.25">
      <c r="C205" s="22" t="s">
        <v>46</v>
      </c>
      <c r="D205" s="20" t="s">
        <v>206</v>
      </c>
      <c r="F205" s="22"/>
      <c r="G205" s="20"/>
      <c r="I205" s="22"/>
      <c r="J205" s="20"/>
    </row>
    <row r="206" spans="3:10" x14ac:dyDescent="0.25">
      <c r="C206" s="22" t="s">
        <v>46</v>
      </c>
      <c r="D206" s="20" t="s">
        <v>218</v>
      </c>
      <c r="F206" s="22"/>
      <c r="G206" s="20"/>
      <c r="I206" s="22"/>
      <c r="J206" s="20"/>
    </row>
    <row r="207" spans="3:10" x14ac:dyDescent="0.25">
      <c r="C207" s="22" t="s">
        <v>46</v>
      </c>
      <c r="D207" s="20" t="s">
        <v>209</v>
      </c>
      <c r="F207" s="22"/>
      <c r="G207" s="20"/>
      <c r="I207" s="22"/>
      <c r="J207" s="20"/>
    </row>
    <row r="208" spans="3:10" x14ac:dyDescent="0.25">
      <c r="C208" s="22" t="s">
        <v>46</v>
      </c>
      <c r="D208" s="20" t="s">
        <v>216</v>
      </c>
      <c r="F208" s="22"/>
      <c r="G208" s="20"/>
      <c r="I208" s="22"/>
      <c r="J208" s="20"/>
    </row>
    <row r="209" spans="3:10" x14ac:dyDescent="0.25">
      <c r="C209" s="22" t="s">
        <v>46</v>
      </c>
      <c r="D209" s="20" t="s">
        <v>222</v>
      </c>
      <c r="F209" s="22"/>
      <c r="G209" s="20"/>
      <c r="I209" s="22"/>
      <c r="J209" s="20"/>
    </row>
    <row r="210" spans="3:10" x14ac:dyDescent="0.25">
      <c r="C210" s="22" t="s">
        <v>46</v>
      </c>
      <c r="D210" s="20" t="s">
        <v>205</v>
      </c>
      <c r="F210" s="22"/>
      <c r="G210" s="20"/>
      <c r="I210" s="22"/>
      <c r="J210" s="20"/>
    </row>
    <row r="211" spans="3:10" x14ac:dyDescent="0.25">
      <c r="C211" s="22" t="s">
        <v>46</v>
      </c>
      <c r="D211" s="20" t="s">
        <v>219</v>
      </c>
      <c r="F211" s="22"/>
      <c r="G211" s="20"/>
      <c r="I211" s="22"/>
      <c r="J211" s="20"/>
    </row>
    <row r="212" spans="3:10" x14ac:dyDescent="0.25">
      <c r="C212" s="22" t="s">
        <v>46</v>
      </c>
      <c r="D212" s="20" t="s">
        <v>210</v>
      </c>
      <c r="F212" s="22"/>
      <c r="G212" s="20"/>
      <c r="I212" s="22"/>
      <c r="J212" s="20"/>
    </row>
    <row r="213" spans="3:10" x14ac:dyDescent="0.25">
      <c r="C213" s="22" t="s">
        <v>46</v>
      </c>
      <c r="D213" s="20" t="s">
        <v>204</v>
      </c>
      <c r="F213" s="22"/>
      <c r="G213" s="20"/>
      <c r="I213" s="22"/>
      <c r="J213" s="20"/>
    </row>
    <row r="214" spans="3:10" x14ac:dyDescent="0.25">
      <c r="C214" s="22" t="s">
        <v>46</v>
      </c>
      <c r="D214" s="20" t="s">
        <v>221</v>
      </c>
      <c r="F214" s="22"/>
      <c r="G214" s="20"/>
      <c r="I214" s="22"/>
      <c r="J214" s="20"/>
    </row>
    <row r="215" spans="3:10" x14ac:dyDescent="0.25">
      <c r="C215" s="22" t="s">
        <v>46</v>
      </c>
      <c r="D215" s="20" t="s">
        <v>213</v>
      </c>
      <c r="F215" s="22"/>
      <c r="G215" s="20"/>
      <c r="I215" s="22"/>
      <c r="J215" s="20"/>
    </row>
    <row r="216" spans="3:10" x14ac:dyDescent="0.25">
      <c r="C216" s="22" t="s">
        <v>46</v>
      </c>
      <c r="D216" s="20" t="s">
        <v>211</v>
      </c>
      <c r="F216" s="22"/>
      <c r="G216" s="20"/>
      <c r="I216" s="22"/>
      <c r="J216" s="20"/>
    </row>
    <row r="217" spans="3:10" x14ac:dyDescent="0.25">
      <c r="C217" s="22" t="s">
        <v>46</v>
      </c>
      <c r="D217" s="20" t="s">
        <v>207</v>
      </c>
      <c r="F217" s="22"/>
      <c r="G217" s="20"/>
      <c r="I217" s="22"/>
      <c r="J217" s="20"/>
    </row>
    <row r="218" spans="3:10" x14ac:dyDescent="0.25">
      <c r="C218" s="22" t="s">
        <v>46</v>
      </c>
      <c r="D218" s="20" t="s">
        <v>208</v>
      </c>
      <c r="F218" s="22"/>
      <c r="G218" s="20"/>
      <c r="I218" s="22"/>
      <c r="J218" s="20"/>
    </row>
    <row r="219" spans="3:10" x14ac:dyDescent="0.25">
      <c r="C219" s="22" t="s">
        <v>46</v>
      </c>
      <c r="D219" s="20" t="s">
        <v>336</v>
      </c>
      <c r="F219" s="22"/>
      <c r="G219" s="20"/>
      <c r="I219" s="22"/>
      <c r="J219" s="20"/>
    </row>
    <row r="220" spans="3:10" x14ac:dyDescent="0.25">
      <c r="C220" s="22" t="s">
        <v>46</v>
      </c>
      <c r="D220" s="20" t="s">
        <v>335</v>
      </c>
      <c r="F220" s="22"/>
      <c r="G220" s="20"/>
      <c r="I220" s="22"/>
      <c r="J220" s="20"/>
    </row>
    <row r="221" spans="3:10" x14ac:dyDescent="0.25">
      <c r="C221" s="22" t="s">
        <v>47</v>
      </c>
      <c r="D221" s="20" t="s">
        <v>224</v>
      </c>
      <c r="F221" s="22"/>
      <c r="G221" s="20"/>
      <c r="I221" s="22"/>
      <c r="J221" s="20"/>
    </row>
    <row r="222" spans="3:10" x14ac:dyDescent="0.25">
      <c r="C222" s="22" t="s">
        <v>47</v>
      </c>
      <c r="D222" s="20" t="s">
        <v>225</v>
      </c>
      <c r="F222" s="22"/>
      <c r="G222" s="20"/>
      <c r="I222" s="22"/>
      <c r="J222" s="20"/>
    </row>
    <row r="223" spans="3:10" x14ac:dyDescent="0.25">
      <c r="C223" s="22" t="s">
        <v>47</v>
      </c>
      <c r="D223" s="20" t="s">
        <v>226</v>
      </c>
      <c r="F223" s="22"/>
      <c r="G223" s="20"/>
      <c r="I223" s="22"/>
      <c r="J223" s="20"/>
    </row>
    <row r="224" spans="3:10" x14ac:dyDescent="0.25">
      <c r="C224" s="22" t="s">
        <v>47</v>
      </c>
      <c r="D224" s="20" t="s">
        <v>227</v>
      </c>
      <c r="F224" s="22"/>
      <c r="G224" s="20"/>
      <c r="I224" s="22"/>
      <c r="J224" s="20"/>
    </row>
    <row r="225" spans="3:10" x14ac:dyDescent="0.25">
      <c r="C225" s="22" t="s">
        <v>47</v>
      </c>
      <c r="D225" s="20" t="s">
        <v>228</v>
      </c>
      <c r="F225" s="22"/>
      <c r="G225" s="20"/>
      <c r="I225" s="22"/>
      <c r="J225" s="20"/>
    </row>
    <row r="226" spans="3:10" x14ac:dyDescent="0.25">
      <c r="C226" s="22" t="s">
        <v>47</v>
      </c>
      <c r="D226" s="20" t="s">
        <v>229</v>
      </c>
      <c r="F226" s="22"/>
      <c r="G226" s="20"/>
      <c r="I226" s="22"/>
      <c r="J226" s="20"/>
    </row>
    <row r="227" spans="3:10" x14ac:dyDescent="0.25">
      <c r="C227" s="22" t="s">
        <v>47</v>
      </c>
      <c r="D227" s="20" t="s">
        <v>230</v>
      </c>
      <c r="F227" s="22"/>
      <c r="G227" s="20"/>
      <c r="I227" s="22"/>
      <c r="J227" s="20"/>
    </row>
    <row r="228" spans="3:10" x14ac:dyDescent="0.25">
      <c r="C228" s="22" t="s">
        <v>47</v>
      </c>
      <c r="D228" s="20" t="s">
        <v>231</v>
      </c>
      <c r="F228" s="22"/>
      <c r="G228" s="20"/>
      <c r="I228" s="22"/>
      <c r="J228" s="20"/>
    </row>
    <row r="229" spans="3:10" x14ac:dyDescent="0.25">
      <c r="C229" s="22" t="s">
        <v>47</v>
      </c>
      <c r="D229" s="20" t="s">
        <v>232</v>
      </c>
      <c r="F229" s="22"/>
      <c r="G229" s="20"/>
      <c r="I229" s="22"/>
      <c r="J229" s="20"/>
    </row>
    <row r="230" spans="3:10" x14ac:dyDescent="0.25">
      <c r="C230" s="22" t="s">
        <v>47</v>
      </c>
      <c r="D230" s="20" t="s">
        <v>233</v>
      </c>
      <c r="F230" s="22"/>
      <c r="G230" s="20"/>
      <c r="I230" s="22"/>
      <c r="J230" s="20"/>
    </row>
    <row r="231" spans="3:10" x14ac:dyDescent="0.25">
      <c r="C231" s="22" t="s">
        <v>47</v>
      </c>
      <c r="D231" s="20" t="s">
        <v>234</v>
      </c>
      <c r="F231" s="22"/>
      <c r="G231" s="20"/>
      <c r="I231" s="22"/>
      <c r="J231" s="20"/>
    </row>
    <row r="232" spans="3:10" x14ac:dyDescent="0.25">
      <c r="C232" s="22" t="s">
        <v>47</v>
      </c>
      <c r="D232" s="20" t="s">
        <v>235</v>
      </c>
      <c r="F232" s="22"/>
      <c r="G232" s="20"/>
      <c r="I232" s="22"/>
      <c r="J232" s="20"/>
    </row>
    <row r="233" spans="3:10" x14ac:dyDescent="0.25">
      <c r="C233" s="22" t="s">
        <v>47</v>
      </c>
      <c r="D233" s="20" t="s">
        <v>236</v>
      </c>
      <c r="F233" s="22"/>
      <c r="G233" s="20"/>
      <c r="I233" s="22"/>
      <c r="J233" s="20"/>
    </row>
    <row r="234" spans="3:10" x14ac:dyDescent="0.25">
      <c r="C234" s="22" t="s">
        <v>47</v>
      </c>
      <c r="D234" s="20" t="s">
        <v>237</v>
      </c>
      <c r="F234" s="22"/>
      <c r="G234" s="20"/>
      <c r="I234" s="22"/>
      <c r="J234" s="20"/>
    </row>
    <row r="235" spans="3:10" x14ac:dyDescent="0.25">
      <c r="C235" s="22" t="s">
        <v>47</v>
      </c>
      <c r="D235" s="20" t="s">
        <v>238</v>
      </c>
      <c r="F235" s="22"/>
      <c r="G235" s="20"/>
      <c r="I235" s="22"/>
      <c r="J235" s="20"/>
    </row>
    <row r="236" spans="3:10" x14ac:dyDescent="0.25">
      <c r="C236" s="22" t="s">
        <v>47</v>
      </c>
      <c r="D236" s="20" t="s">
        <v>239</v>
      </c>
      <c r="F236" s="22"/>
      <c r="G236" s="20"/>
      <c r="I236" s="22"/>
      <c r="J236" s="20"/>
    </row>
    <row r="237" spans="3:10" x14ac:dyDescent="0.25">
      <c r="C237" s="22" t="s">
        <v>47</v>
      </c>
      <c r="D237" s="20" t="s">
        <v>240</v>
      </c>
      <c r="F237" s="22"/>
      <c r="G237" s="20"/>
      <c r="I237" s="22"/>
      <c r="J237" s="20"/>
    </row>
    <row r="238" spans="3:10" x14ac:dyDescent="0.25">
      <c r="C238" s="22" t="s">
        <v>47</v>
      </c>
      <c r="D238" s="20" t="s">
        <v>241</v>
      </c>
      <c r="F238" s="22"/>
      <c r="G238" s="20"/>
      <c r="I238" s="22"/>
      <c r="J238" s="20"/>
    </row>
    <row r="239" spans="3:10" x14ac:dyDescent="0.25">
      <c r="C239" s="22" t="s">
        <v>47</v>
      </c>
      <c r="D239" s="20" t="s">
        <v>242</v>
      </c>
      <c r="F239" s="22"/>
      <c r="G239" s="20"/>
      <c r="I239" s="22"/>
      <c r="J239" s="20"/>
    </row>
    <row r="240" spans="3:10" x14ac:dyDescent="0.25">
      <c r="C240" s="22" t="s">
        <v>47</v>
      </c>
      <c r="D240" s="20" t="s">
        <v>248</v>
      </c>
      <c r="F240" s="22"/>
      <c r="G240" s="20"/>
      <c r="I240" s="22"/>
      <c r="J240" s="20"/>
    </row>
    <row r="241" spans="3:10" x14ac:dyDescent="0.25">
      <c r="C241" s="22" t="s">
        <v>47</v>
      </c>
      <c r="D241" s="20" t="s">
        <v>243</v>
      </c>
      <c r="F241" s="22"/>
      <c r="G241" s="20"/>
      <c r="I241" s="22"/>
      <c r="J241" s="20"/>
    </row>
    <row r="242" spans="3:10" x14ac:dyDescent="0.25">
      <c r="C242" s="22" t="s">
        <v>47</v>
      </c>
      <c r="D242" s="20" t="s">
        <v>244</v>
      </c>
      <c r="F242" s="22"/>
      <c r="G242" s="20"/>
      <c r="I242" s="22"/>
      <c r="J242" s="20"/>
    </row>
    <row r="243" spans="3:10" x14ac:dyDescent="0.25">
      <c r="C243" s="22" t="s">
        <v>47</v>
      </c>
      <c r="D243" s="20" t="s">
        <v>247</v>
      </c>
      <c r="F243" s="22"/>
      <c r="G243" s="20"/>
      <c r="I243" s="22"/>
      <c r="J243" s="20"/>
    </row>
    <row r="244" spans="3:10" x14ac:dyDescent="0.25">
      <c r="C244" s="22" t="s">
        <v>47</v>
      </c>
      <c r="D244" s="20" t="s">
        <v>245</v>
      </c>
      <c r="F244" s="22"/>
      <c r="G244" s="20"/>
      <c r="I244" s="22"/>
      <c r="J244" s="20"/>
    </row>
    <row r="245" spans="3:10" x14ac:dyDescent="0.25">
      <c r="C245" s="22" t="s">
        <v>47</v>
      </c>
      <c r="D245" s="20" t="s">
        <v>246</v>
      </c>
      <c r="F245" s="22"/>
      <c r="G245" s="20"/>
      <c r="I245" s="22"/>
      <c r="J245" s="20"/>
    </row>
    <row r="246" spans="3:10" x14ac:dyDescent="0.25">
      <c r="C246" s="22" t="s">
        <v>48</v>
      </c>
      <c r="D246" s="20" t="s">
        <v>249</v>
      </c>
      <c r="F246" s="22"/>
      <c r="G246" s="20"/>
      <c r="I246" s="22"/>
      <c r="J246" s="20"/>
    </row>
    <row r="247" spans="3:10" x14ac:dyDescent="0.25">
      <c r="C247" s="22" t="s">
        <v>48</v>
      </c>
      <c r="D247" s="20" t="s">
        <v>250</v>
      </c>
      <c r="F247" s="22"/>
      <c r="G247" s="20"/>
      <c r="I247" s="22"/>
      <c r="J247" s="20"/>
    </row>
    <row r="248" spans="3:10" x14ac:dyDescent="0.25">
      <c r="C248" s="22" t="s">
        <v>48</v>
      </c>
      <c r="D248" s="20" t="s">
        <v>273</v>
      </c>
      <c r="F248" s="22"/>
      <c r="G248" s="20"/>
      <c r="I248" s="22"/>
      <c r="J248" s="20"/>
    </row>
    <row r="249" spans="3:10" x14ac:dyDescent="0.25">
      <c r="C249" s="22" t="s">
        <v>48</v>
      </c>
      <c r="D249" s="20" t="s">
        <v>251</v>
      </c>
      <c r="F249" s="22"/>
      <c r="G249" s="20"/>
      <c r="I249" s="22"/>
      <c r="J249" s="20"/>
    </row>
    <row r="250" spans="3:10" x14ac:dyDescent="0.25">
      <c r="C250" s="22" t="s">
        <v>48</v>
      </c>
      <c r="D250" s="20" t="s">
        <v>252</v>
      </c>
      <c r="F250" s="22"/>
      <c r="G250" s="20"/>
      <c r="I250" s="22"/>
      <c r="J250" s="20"/>
    </row>
    <row r="251" spans="3:10" x14ac:dyDescent="0.25">
      <c r="C251" s="22" t="s">
        <v>48</v>
      </c>
      <c r="D251" s="20" t="s">
        <v>253</v>
      </c>
      <c r="F251" s="22"/>
      <c r="G251" s="20"/>
      <c r="I251" s="22"/>
      <c r="J251" s="20"/>
    </row>
    <row r="252" spans="3:10" x14ac:dyDescent="0.25">
      <c r="C252" s="22" t="s">
        <v>48</v>
      </c>
      <c r="D252" s="20" t="s">
        <v>254</v>
      </c>
      <c r="F252" s="22"/>
      <c r="G252" s="20"/>
      <c r="I252" s="22"/>
      <c r="J252" s="20"/>
    </row>
    <row r="253" spans="3:10" x14ac:dyDescent="0.25">
      <c r="C253" s="22" t="s">
        <v>48</v>
      </c>
      <c r="D253" s="20" t="s">
        <v>255</v>
      </c>
      <c r="F253" s="22"/>
      <c r="G253" s="20"/>
      <c r="I253" s="22"/>
      <c r="J253" s="20"/>
    </row>
    <row r="254" spans="3:10" x14ac:dyDescent="0.25">
      <c r="C254" s="22" t="s">
        <v>48</v>
      </c>
      <c r="D254" s="20" t="s">
        <v>272</v>
      </c>
      <c r="F254" s="22"/>
      <c r="G254" s="20"/>
      <c r="I254" s="22"/>
      <c r="J254" s="20"/>
    </row>
    <row r="255" spans="3:10" x14ac:dyDescent="0.25">
      <c r="C255" s="22" t="s">
        <v>48</v>
      </c>
      <c r="D255" s="20" t="s">
        <v>256</v>
      </c>
      <c r="F255" s="22"/>
      <c r="G255" s="20"/>
      <c r="I255" s="22"/>
      <c r="J255" s="20"/>
    </row>
    <row r="256" spans="3:10" x14ac:dyDescent="0.25">
      <c r="C256" s="22" t="s">
        <v>48</v>
      </c>
      <c r="D256" s="20" t="s">
        <v>257</v>
      </c>
      <c r="F256" s="22"/>
      <c r="G256" s="20"/>
      <c r="I256" s="22"/>
      <c r="J256" s="20"/>
    </row>
    <row r="257" spans="3:10" x14ac:dyDescent="0.25">
      <c r="C257" s="22" t="s">
        <v>48</v>
      </c>
      <c r="D257" s="20" t="s">
        <v>258</v>
      </c>
      <c r="F257" s="22"/>
      <c r="G257" s="20"/>
      <c r="I257" s="22"/>
      <c r="J257" s="20"/>
    </row>
    <row r="258" spans="3:10" x14ac:dyDescent="0.25">
      <c r="C258" s="22" t="s">
        <v>48</v>
      </c>
      <c r="D258" s="20" t="s">
        <v>259</v>
      </c>
      <c r="F258" s="22"/>
      <c r="G258" s="20"/>
      <c r="I258" s="22"/>
      <c r="J258" s="20"/>
    </row>
    <row r="259" spans="3:10" x14ac:dyDescent="0.25">
      <c r="C259" s="22" t="s">
        <v>48</v>
      </c>
      <c r="D259" s="20" t="s">
        <v>260</v>
      </c>
      <c r="F259" s="22"/>
      <c r="G259" s="20"/>
      <c r="I259" s="22"/>
      <c r="J259" s="20"/>
    </row>
    <row r="260" spans="3:10" x14ac:dyDescent="0.25">
      <c r="C260" s="22" t="s">
        <v>48</v>
      </c>
      <c r="D260" s="20" t="s">
        <v>261</v>
      </c>
      <c r="F260" s="22"/>
      <c r="G260" s="20"/>
      <c r="I260" s="22"/>
      <c r="J260" s="20"/>
    </row>
    <row r="261" spans="3:10" x14ac:dyDescent="0.25">
      <c r="C261" s="22" t="s">
        <v>48</v>
      </c>
      <c r="D261" s="20" t="s">
        <v>262</v>
      </c>
      <c r="F261" s="22"/>
      <c r="G261" s="20"/>
      <c r="I261" s="22"/>
      <c r="J261" s="20"/>
    </row>
    <row r="262" spans="3:10" x14ac:dyDescent="0.25">
      <c r="C262" s="22" t="s">
        <v>48</v>
      </c>
      <c r="D262" s="20" t="s">
        <v>263</v>
      </c>
      <c r="F262" s="22"/>
      <c r="G262" s="20"/>
      <c r="I262" s="22"/>
      <c r="J262" s="20"/>
    </row>
    <row r="263" spans="3:10" x14ac:dyDescent="0.25">
      <c r="C263" s="22" t="s">
        <v>48</v>
      </c>
      <c r="D263" s="20" t="s">
        <v>264</v>
      </c>
      <c r="F263" s="22"/>
      <c r="G263" s="20"/>
      <c r="I263" s="22"/>
      <c r="J263" s="20"/>
    </row>
    <row r="264" spans="3:10" x14ac:dyDescent="0.25">
      <c r="C264" s="22" t="s">
        <v>48</v>
      </c>
      <c r="D264" s="20" t="s">
        <v>265</v>
      </c>
      <c r="F264" s="22"/>
      <c r="G264" s="20"/>
      <c r="I264" s="22"/>
      <c r="J264" s="20"/>
    </row>
    <row r="265" spans="3:10" x14ac:dyDescent="0.25">
      <c r="C265" s="22" t="s">
        <v>48</v>
      </c>
      <c r="D265" s="20" t="s">
        <v>266</v>
      </c>
    </row>
    <row r="266" spans="3:10" x14ac:dyDescent="0.25">
      <c r="C266" s="22" t="s">
        <v>48</v>
      </c>
      <c r="D266" s="20" t="s">
        <v>267</v>
      </c>
    </row>
    <row r="267" spans="3:10" x14ac:dyDescent="0.25">
      <c r="C267" s="22" t="s">
        <v>48</v>
      </c>
      <c r="D267" s="20" t="s">
        <v>274</v>
      </c>
    </row>
    <row r="268" spans="3:10" x14ac:dyDescent="0.25">
      <c r="C268" s="22" t="s">
        <v>48</v>
      </c>
      <c r="D268" s="20" t="s">
        <v>268</v>
      </c>
    </row>
    <row r="269" spans="3:10" x14ac:dyDescent="0.25">
      <c r="C269" s="22" t="s">
        <v>48</v>
      </c>
      <c r="D269" t="s">
        <v>269</v>
      </c>
    </row>
    <row r="270" spans="3:10" x14ac:dyDescent="0.25">
      <c r="C270" s="22" t="s">
        <v>48</v>
      </c>
      <c r="D270" t="s">
        <v>270</v>
      </c>
    </row>
    <row r="271" spans="3:10" x14ac:dyDescent="0.25">
      <c r="C271" s="22" t="s">
        <v>48</v>
      </c>
      <c r="D271" t="s">
        <v>271</v>
      </c>
    </row>
    <row r="272" spans="3:10" x14ac:dyDescent="0.25">
      <c r="C272" s="22" t="s">
        <v>293</v>
      </c>
      <c r="D272" t="s">
        <v>301</v>
      </c>
    </row>
    <row r="273" spans="3:4" x14ac:dyDescent="0.25">
      <c r="C273" s="22" t="s">
        <v>293</v>
      </c>
      <c r="D273" t="s">
        <v>308</v>
      </c>
    </row>
    <row r="274" spans="3:4" x14ac:dyDescent="0.25">
      <c r="C274" s="22" t="s">
        <v>293</v>
      </c>
      <c r="D274" t="s">
        <v>306</v>
      </c>
    </row>
    <row r="275" spans="3:4" x14ac:dyDescent="0.25">
      <c r="C275" s="22" t="s">
        <v>293</v>
      </c>
      <c r="D275" t="s">
        <v>305</v>
      </c>
    </row>
    <row r="276" spans="3:4" x14ac:dyDescent="0.25">
      <c r="C276" s="22" t="s">
        <v>293</v>
      </c>
      <c r="D276" t="s">
        <v>302</v>
      </c>
    </row>
    <row r="277" spans="3:4" x14ac:dyDescent="0.25">
      <c r="C277" s="22" t="s">
        <v>293</v>
      </c>
      <c r="D277" t="s">
        <v>297</v>
      </c>
    </row>
    <row r="278" spans="3:4" x14ac:dyDescent="0.25">
      <c r="C278" s="22" t="s">
        <v>293</v>
      </c>
      <c r="D278" t="s">
        <v>298</v>
      </c>
    </row>
    <row r="279" spans="3:4" x14ac:dyDescent="0.25">
      <c r="C279" s="22" t="s">
        <v>293</v>
      </c>
      <c r="D279" t="s">
        <v>303</v>
      </c>
    </row>
    <row r="280" spans="3:4" x14ac:dyDescent="0.25">
      <c r="C280" s="22" t="s">
        <v>293</v>
      </c>
      <c r="D280" t="s">
        <v>294</v>
      </c>
    </row>
    <row r="281" spans="3:4" x14ac:dyDescent="0.25">
      <c r="C281" s="22" t="s">
        <v>293</v>
      </c>
      <c r="D281" t="s">
        <v>300</v>
      </c>
    </row>
    <row r="282" spans="3:4" x14ac:dyDescent="0.25">
      <c r="C282" s="22" t="s">
        <v>293</v>
      </c>
      <c r="D282" t="s">
        <v>307</v>
      </c>
    </row>
    <row r="283" spans="3:4" x14ac:dyDescent="0.25">
      <c r="C283" s="22" t="s">
        <v>293</v>
      </c>
      <c r="D283" t="s">
        <v>309</v>
      </c>
    </row>
    <row r="284" spans="3:4" x14ac:dyDescent="0.25">
      <c r="C284" s="22" t="s">
        <v>293</v>
      </c>
      <c r="D284" t="s">
        <v>296</v>
      </c>
    </row>
    <row r="285" spans="3:4" x14ac:dyDescent="0.25">
      <c r="C285" s="22" t="s">
        <v>293</v>
      </c>
      <c r="D285" t="s">
        <v>304</v>
      </c>
    </row>
    <row r="286" spans="3:4" x14ac:dyDescent="0.25">
      <c r="C286" s="22" t="s">
        <v>293</v>
      </c>
      <c r="D286" t="s">
        <v>295</v>
      </c>
    </row>
    <row r="287" spans="3:4" x14ac:dyDescent="0.25">
      <c r="C287" s="22" t="s">
        <v>293</v>
      </c>
      <c r="D287" t="s">
        <v>299</v>
      </c>
    </row>
    <row r="288" spans="3:4" x14ac:dyDescent="0.25">
      <c r="C288" s="22" t="s">
        <v>51</v>
      </c>
      <c r="D288" t="s">
        <v>337</v>
      </c>
    </row>
    <row r="289" spans="3:4" x14ac:dyDescent="0.25">
      <c r="C289" s="22" t="s">
        <v>51</v>
      </c>
      <c r="D289" t="s">
        <v>338</v>
      </c>
    </row>
    <row r="290" spans="3:4" x14ac:dyDescent="0.25">
      <c r="C290" s="22" t="s">
        <v>51</v>
      </c>
      <c r="D290" t="s">
        <v>339</v>
      </c>
    </row>
    <row r="291" spans="3:4" x14ac:dyDescent="0.25">
      <c r="C291" s="22" t="s">
        <v>51</v>
      </c>
      <c r="D291" t="s">
        <v>340</v>
      </c>
    </row>
    <row r="292" spans="3:4" x14ac:dyDescent="0.25">
      <c r="C292" s="22" t="s">
        <v>51</v>
      </c>
      <c r="D292" t="s">
        <v>341</v>
      </c>
    </row>
    <row r="293" spans="3:4" x14ac:dyDescent="0.25">
      <c r="C293" s="22" t="s">
        <v>51</v>
      </c>
      <c r="D293" t="s">
        <v>342</v>
      </c>
    </row>
    <row r="294" spans="3:4" x14ac:dyDescent="0.25">
      <c r="C294" s="22" t="s">
        <v>51</v>
      </c>
      <c r="D294" t="s">
        <v>343</v>
      </c>
    </row>
    <row r="295" spans="3:4" x14ac:dyDescent="0.25">
      <c r="C295" s="22" t="s">
        <v>51</v>
      </c>
      <c r="D295" s="20" t="s">
        <v>344</v>
      </c>
    </row>
    <row r="296" spans="3:4" x14ac:dyDescent="0.25">
      <c r="C296" s="22" t="s">
        <v>51</v>
      </c>
      <c r="D296" s="37" t="s">
        <v>345</v>
      </c>
    </row>
    <row r="297" spans="3:4" x14ac:dyDescent="0.25">
      <c r="C297" s="22" t="s">
        <v>51</v>
      </c>
      <c r="D297" s="37" t="s">
        <v>346</v>
      </c>
    </row>
    <row r="298" spans="3:4" x14ac:dyDescent="0.25">
      <c r="C298" s="22" t="s">
        <v>51</v>
      </c>
      <c r="D298" s="37" t="s">
        <v>347</v>
      </c>
    </row>
    <row r="299" spans="3:4" x14ac:dyDescent="0.25">
      <c r="C299" s="22" t="s">
        <v>51</v>
      </c>
      <c r="D299" s="37" t="s">
        <v>243</v>
      </c>
    </row>
    <row r="300" spans="3:4" x14ac:dyDescent="0.25">
      <c r="C300" s="22" t="s">
        <v>51</v>
      </c>
      <c r="D300" s="37" t="s">
        <v>348</v>
      </c>
    </row>
    <row r="301" spans="3:4" x14ac:dyDescent="0.25">
      <c r="C301" s="22" t="s">
        <v>51</v>
      </c>
      <c r="D301" s="37" t="s">
        <v>349</v>
      </c>
    </row>
    <row r="302" spans="3:4" x14ac:dyDescent="0.25">
      <c r="C302" s="22" t="s">
        <v>51</v>
      </c>
      <c r="D302" s="37" t="s">
        <v>350</v>
      </c>
    </row>
    <row r="303" spans="3:4" x14ac:dyDescent="0.25">
      <c r="C303" s="22" t="s">
        <v>51</v>
      </c>
      <c r="D303" s="37" t="s">
        <v>351</v>
      </c>
    </row>
    <row r="304" spans="3:4" x14ac:dyDescent="0.25">
      <c r="C304" s="22" t="s">
        <v>51</v>
      </c>
      <c r="D304" s="37" t="s">
        <v>67</v>
      </c>
    </row>
    <row r="305" spans="3:4" x14ac:dyDescent="0.25">
      <c r="C305" s="22" t="s">
        <v>51</v>
      </c>
      <c r="D305" s="37" t="s">
        <v>352</v>
      </c>
    </row>
    <row r="306" spans="3:4" x14ac:dyDescent="0.25">
      <c r="C306" s="22" t="s">
        <v>51</v>
      </c>
      <c r="D306" s="37" t="s">
        <v>353</v>
      </c>
    </row>
    <row r="307" spans="3:4" x14ac:dyDescent="0.25">
      <c r="C307" s="22" t="s">
        <v>51</v>
      </c>
      <c r="D307" s="37" t="s">
        <v>354</v>
      </c>
    </row>
  </sheetData>
  <mergeCells count="3">
    <mergeCell ref="C2:D2"/>
    <mergeCell ref="F2:G2"/>
    <mergeCell ref="I2:J2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4</vt:i4>
      </vt:variant>
    </vt:vector>
  </HeadingPairs>
  <TitlesOfParts>
    <vt:vector size="7" baseType="lpstr">
      <vt:lpstr>Gara</vt:lpstr>
      <vt:lpstr>Squadre</vt:lpstr>
      <vt:lpstr>Giocatori Dirigenti</vt:lpstr>
      <vt:lpstr>Campionati</vt:lpstr>
      <vt:lpstr>SquadreA1</vt:lpstr>
      <vt:lpstr>SquadreB</vt:lpstr>
      <vt:lpstr>SquadreGivanile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Zk 369</cp:lastModifiedBy>
  <dcterms:created xsi:type="dcterms:W3CDTF">2026-08-11T06:16:31Z</dcterms:created>
  <dcterms:modified xsi:type="dcterms:W3CDTF">2026-08-26T11:29:59Z</dcterms:modified>
</cp:coreProperties>
</file>